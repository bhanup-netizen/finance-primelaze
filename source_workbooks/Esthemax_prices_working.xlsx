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melaze Info\Esthemax\Price\"/>
    </mc:Choice>
  </mc:AlternateContent>
  <xr:revisionPtr revIDLastSave="0" documentId="13_ncr:1_{1B1D2325-5510-4CCC-B116-5A66BF276C53}" xr6:coauthVersionLast="47" xr6:coauthVersionMax="47" xr10:uidLastSave="{00000000-0000-0000-0000-000000000000}"/>
  <bookViews>
    <workbookView xWindow="-108" yWindow="-108" windowWidth="23256" windowHeight="12456" activeTab="1" xr2:uid="{814C774A-704A-44A1-828D-983AB0BA86A5}"/>
  </bookViews>
  <sheets>
    <sheet name="Salon Market" sheetId="2" r:id="rId1"/>
    <sheet name="Doctor Mark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8" i="2" l="1"/>
  <c r="V38" i="2" s="1"/>
  <c r="U37" i="2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V29" i="2" s="1"/>
  <c r="S38" i="2"/>
  <c r="T38" i="2" s="1"/>
  <c r="S37" i="2"/>
  <c r="T37" i="2" s="1"/>
  <c r="S36" i="2"/>
  <c r="T36" i="2" s="1"/>
  <c r="S35" i="2"/>
  <c r="T35" i="2" s="1"/>
  <c r="S34" i="2"/>
  <c r="T34" i="2" s="1"/>
  <c r="S33" i="2"/>
  <c r="T33" i="2" s="1"/>
  <c r="S32" i="2"/>
  <c r="T32" i="2" s="1"/>
  <c r="S31" i="2"/>
  <c r="T31" i="2" s="1"/>
  <c r="S30" i="2"/>
  <c r="T30" i="2" s="1"/>
  <c r="S29" i="2"/>
  <c r="T29" i="2" s="1"/>
  <c r="Q38" i="2"/>
  <c r="R38" i="2" s="1"/>
  <c r="Q37" i="2"/>
  <c r="R37" i="2" s="1"/>
  <c r="Q36" i="2"/>
  <c r="R36" i="2" s="1"/>
  <c r="Q35" i="2"/>
  <c r="R35" i="2" s="1"/>
  <c r="Q34" i="2"/>
  <c r="R34" i="2" s="1"/>
  <c r="Q33" i="2"/>
  <c r="R33" i="2" s="1"/>
  <c r="Q32" i="2"/>
  <c r="R32" i="2" s="1"/>
  <c r="Q31" i="2"/>
  <c r="R31" i="2" s="1"/>
  <c r="Q30" i="2"/>
  <c r="R30" i="2" s="1"/>
  <c r="Q29" i="2"/>
  <c r="R29" i="2" s="1"/>
  <c r="U28" i="2"/>
  <c r="V28" i="2" s="1"/>
  <c r="S28" i="2"/>
  <c r="T28" i="2" s="1"/>
  <c r="Q28" i="2"/>
  <c r="R28" i="2" s="1"/>
  <c r="Y38" i="1"/>
  <c r="Z38" i="1" s="1"/>
  <c r="Y37" i="1"/>
  <c r="Z37" i="1" s="1"/>
  <c r="Y36" i="1"/>
  <c r="Z36" i="1" s="1"/>
  <c r="Y35" i="1"/>
  <c r="Z35" i="1" s="1"/>
  <c r="Y34" i="1"/>
  <c r="Z34" i="1" s="1"/>
  <c r="Y33" i="1"/>
  <c r="Z33" i="1" s="1"/>
  <c r="Y32" i="1"/>
  <c r="Z32" i="1" s="1"/>
  <c r="Y31" i="1"/>
  <c r="Z31" i="1" s="1"/>
  <c r="Y30" i="1"/>
  <c r="Z30" i="1" s="1"/>
  <c r="Y29" i="1"/>
  <c r="Z29" i="1" s="1"/>
  <c r="U38" i="1"/>
  <c r="V38" i="1" s="1"/>
  <c r="U37" i="1"/>
  <c r="V37" i="1" s="1"/>
  <c r="V36" i="1"/>
  <c r="U36" i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9" i="1"/>
  <c r="V29" i="1" s="1"/>
  <c r="Q38" i="1"/>
  <c r="R38" i="1" s="1"/>
  <c r="Q37" i="1"/>
  <c r="R37" i="1" s="1"/>
  <c r="Q36" i="1"/>
  <c r="R36" i="1" s="1"/>
  <c r="Q35" i="1"/>
  <c r="R35" i="1" s="1"/>
  <c r="R34" i="1"/>
  <c r="Q34" i="1"/>
  <c r="Q33" i="1"/>
  <c r="R33" i="1" s="1"/>
  <c r="Q32" i="1"/>
  <c r="R32" i="1" s="1"/>
  <c r="Q31" i="1"/>
  <c r="R31" i="1" s="1"/>
  <c r="Q30" i="1"/>
  <c r="R30" i="1" s="1"/>
  <c r="Q29" i="1"/>
  <c r="R29" i="1" s="1"/>
  <c r="Y28" i="1"/>
  <c r="Z28" i="1" s="1"/>
  <c r="U28" i="1"/>
  <c r="V28" i="1" s="1"/>
  <c r="Q28" i="1"/>
  <c r="R28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Y9" i="1"/>
  <c r="Z9" i="1" s="1"/>
  <c r="Y8" i="1"/>
  <c r="Z8" i="1" s="1"/>
  <c r="Y7" i="1"/>
  <c r="Z7" i="1" s="1"/>
  <c r="Y6" i="1"/>
  <c r="Z6" i="1" s="1"/>
  <c r="Y5" i="1"/>
  <c r="Z5" i="1" s="1"/>
  <c r="U25" i="2"/>
  <c r="V25" i="2" s="1"/>
  <c r="U24" i="2"/>
  <c r="V24" i="2" s="1"/>
  <c r="U23" i="2"/>
  <c r="V23" i="2" s="1"/>
  <c r="U22" i="2"/>
  <c r="V22" i="2" s="1"/>
  <c r="U21" i="2"/>
  <c r="V21" i="2" s="1"/>
  <c r="U20" i="2"/>
  <c r="V20" i="2" s="1"/>
  <c r="U19" i="2"/>
  <c r="V19" i="2" s="1"/>
  <c r="U18" i="2"/>
  <c r="V18" i="2" s="1"/>
  <c r="U17" i="2"/>
  <c r="V17" i="2" s="1"/>
  <c r="U16" i="2"/>
  <c r="V16" i="2" s="1"/>
  <c r="U15" i="2"/>
  <c r="V15" i="2" s="1"/>
  <c r="U14" i="2"/>
  <c r="V14" i="2" s="1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U7" i="2"/>
  <c r="V7" i="2" s="1"/>
  <c r="U6" i="2"/>
  <c r="V6" i="2" s="1"/>
  <c r="U5" i="2"/>
  <c r="V5" i="2" s="1"/>
  <c r="S25" i="2"/>
  <c r="T25" i="2" s="1"/>
  <c r="S24" i="2"/>
  <c r="T24" i="2" s="1"/>
  <c r="S23" i="2"/>
  <c r="T23" i="2" s="1"/>
  <c r="S22" i="2"/>
  <c r="T22" i="2" s="1"/>
  <c r="S21" i="2"/>
  <c r="T21" i="2" s="1"/>
  <c r="S20" i="2"/>
  <c r="T20" i="2" s="1"/>
  <c r="S19" i="2"/>
  <c r="T19" i="2" s="1"/>
  <c r="S18" i="2"/>
  <c r="T18" i="2" s="1"/>
  <c r="S17" i="2"/>
  <c r="T17" i="2" s="1"/>
  <c r="S16" i="2"/>
  <c r="T16" i="2" s="1"/>
  <c r="S15" i="2"/>
  <c r="T15" i="2" s="1"/>
  <c r="S14" i="2"/>
  <c r="T14" i="2" s="1"/>
  <c r="S13" i="2"/>
  <c r="T13" i="2" s="1"/>
  <c r="S12" i="2"/>
  <c r="T12" i="2" s="1"/>
  <c r="S11" i="2"/>
  <c r="T11" i="2" s="1"/>
  <c r="S10" i="2"/>
  <c r="T10" i="2" s="1"/>
  <c r="S9" i="2"/>
  <c r="T9" i="2" s="1"/>
  <c r="S8" i="2"/>
  <c r="T8" i="2" s="1"/>
  <c r="S7" i="2"/>
  <c r="T7" i="2" s="1"/>
  <c r="S6" i="2"/>
  <c r="T6" i="2" s="1"/>
  <c r="S5" i="2"/>
  <c r="T5" i="2" s="1"/>
  <c r="Q25" i="2"/>
  <c r="R25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V4" i="2"/>
  <c r="U4" i="2"/>
  <c r="T4" i="2"/>
  <c r="S4" i="2"/>
  <c r="R4" i="2"/>
  <c r="Q4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P4" i="2"/>
  <c r="O4" i="2"/>
  <c r="M4" i="2"/>
  <c r="Z4" i="1"/>
  <c r="Y4" i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V4" i="1"/>
  <c r="U4" i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K38" i="2"/>
  <c r="L38" i="2" s="1"/>
  <c r="E38" i="2"/>
  <c r="K37" i="2"/>
  <c r="L37" i="2" s="1"/>
  <c r="E37" i="2"/>
  <c r="K36" i="2"/>
  <c r="L36" i="2" s="1"/>
  <c r="E36" i="2"/>
  <c r="K35" i="2"/>
  <c r="L35" i="2" s="1"/>
  <c r="E35" i="2"/>
  <c r="K34" i="2"/>
  <c r="L34" i="2" s="1"/>
  <c r="E34" i="2"/>
  <c r="K33" i="2"/>
  <c r="L33" i="2" s="1"/>
  <c r="E33" i="2"/>
  <c r="K32" i="2"/>
  <c r="L32" i="2" s="1"/>
  <c r="E32" i="2"/>
  <c r="K31" i="2"/>
  <c r="L31" i="2" s="1"/>
  <c r="E31" i="2"/>
  <c r="K30" i="2"/>
  <c r="L30" i="2" s="1"/>
  <c r="E30" i="2"/>
  <c r="K29" i="2"/>
  <c r="L29" i="2" s="1"/>
  <c r="E29" i="2"/>
  <c r="K28" i="2"/>
  <c r="L28" i="2" s="1"/>
  <c r="E28" i="2"/>
  <c r="H28" i="2" s="1"/>
  <c r="K25" i="2"/>
  <c r="L25" i="2" s="1"/>
  <c r="E25" i="2"/>
  <c r="K24" i="2"/>
  <c r="L24" i="2" s="1"/>
  <c r="E24" i="2"/>
  <c r="K23" i="2"/>
  <c r="L23" i="2" s="1"/>
  <c r="E23" i="2"/>
  <c r="K22" i="2"/>
  <c r="L22" i="2" s="1"/>
  <c r="E22" i="2"/>
  <c r="K21" i="2"/>
  <c r="L21" i="2" s="1"/>
  <c r="E21" i="2"/>
  <c r="K20" i="2"/>
  <c r="L20" i="2" s="1"/>
  <c r="E20" i="2"/>
  <c r="K19" i="2"/>
  <c r="L19" i="2" s="1"/>
  <c r="E19" i="2"/>
  <c r="K18" i="2"/>
  <c r="L18" i="2" s="1"/>
  <c r="E18" i="2"/>
  <c r="K17" i="2"/>
  <c r="L17" i="2" s="1"/>
  <c r="E17" i="2"/>
  <c r="K16" i="2"/>
  <c r="L16" i="2" s="1"/>
  <c r="E16" i="2"/>
  <c r="K15" i="2"/>
  <c r="L15" i="2" s="1"/>
  <c r="E15" i="2"/>
  <c r="K14" i="2"/>
  <c r="L14" i="2" s="1"/>
  <c r="E14" i="2"/>
  <c r="K13" i="2"/>
  <c r="L13" i="2" s="1"/>
  <c r="E13" i="2"/>
  <c r="K12" i="2"/>
  <c r="L12" i="2" s="1"/>
  <c r="E12" i="2"/>
  <c r="K11" i="2"/>
  <c r="L11" i="2" s="1"/>
  <c r="E11" i="2"/>
  <c r="K10" i="2"/>
  <c r="L10" i="2" s="1"/>
  <c r="E10" i="2"/>
  <c r="K9" i="2"/>
  <c r="L9" i="2" s="1"/>
  <c r="E9" i="2"/>
  <c r="K8" i="2"/>
  <c r="L8" i="2" s="1"/>
  <c r="E8" i="2"/>
  <c r="K7" i="2"/>
  <c r="L7" i="2" s="1"/>
  <c r="E7" i="2"/>
  <c r="K6" i="2"/>
  <c r="L6" i="2" s="1"/>
  <c r="E6" i="2"/>
  <c r="K5" i="2"/>
  <c r="L5" i="2" s="1"/>
  <c r="E5" i="2"/>
  <c r="K4" i="2"/>
  <c r="L4" i="2" s="1"/>
  <c r="E4" i="2"/>
  <c r="E38" i="1"/>
  <c r="E37" i="1"/>
  <c r="E36" i="1"/>
  <c r="E35" i="1"/>
  <c r="E34" i="1"/>
  <c r="E33" i="1"/>
  <c r="E32" i="1"/>
  <c r="E31" i="1"/>
  <c r="E30" i="1"/>
  <c r="E29" i="1"/>
  <c r="E28" i="1"/>
  <c r="E25" i="1"/>
  <c r="E24" i="1"/>
  <c r="E23" i="1"/>
  <c r="E22" i="1"/>
  <c r="E21" i="1"/>
  <c r="E20" i="1"/>
  <c r="E19" i="1"/>
  <c r="L18" i="1"/>
  <c r="E18" i="1"/>
  <c r="E17" i="1"/>
  <c r="E16" i="1"/>
  <c r="E15" i="1"/>
  <c r="E14" i="1"/>
  <c r="E13" i="1"/>
  <c r="E12" i="1"/>
  <c r="E11" i="1"/>
  <c r="E10" i="1"/>
  <c r="E9" i="1"/>
  <c r="L8" i="1"/>
  <c r="E8" i="1"/>
  <c r="E7" i="1"/>
  <c r="E6" i="1"/>
  <c r="E5" i="1"/>
  <c r="E4" i="1"/>
  <c r="H38" i="2" l="1"/>
  <c r="I38" i="2" s="1"/>
  <c r="F38" i="2"/>
  <c r="G38" i="2" s="1"/>
  <c r="H37" i="2"/>
  <c r="I37" i="2" s="1"/>
  <c r="F37" i="2"/>
  <c r="G37" i="2" s="1"/>
  <c r="H36" i="2"/>
  <c r="I36" i="2" s="1"/>
  <c r="F36" i="2"/>
  <c r="G36" i="2" s="1"/>
  <c r="H35" i="2"/>
  <c r="I35" i="2" s="1"/>
  <c r="F35" i="2"/>
  <c r="G35" i="2" s="1"/>
  <c r="H34" i="2"/>
  <c r="I34" i="2" s="1"/>
  <c r="F34" i="2"/>
  <c r="G34" i="2" s="1"/>
  <c r="H33" i="2"/>
  <c r="I33" i="2" s="1"/>
  <c r="F33" i="2"/>
  <c r="G33" i="2" s="1"/>
  <c r="H32" i="2"/>
  <c r="I32" i="2" s="1"/>
  <c r="F32" i="2"/>
  <c r="G32" i="2" s="1"/>
  <c r="H31" i="2"/>
  <c r="I31" i="2" s="1"/>
  <c r="F31" i="2"/>
  <c r="G31" i="2" s="1"/>
  <c r="H30" i="2"/>
  <c r="I30" i="2" s="1"/>
  <c r="F30" i="2"/>
  <c r="G30" i="2" s="1"/>
  <c r="F29" i="2"/>
  <c r="G29" i="2" s="1"/>
  <c r="I28" i="2"/>
  <c r="F24" i="2"/>
  <c r="G24" i="2" s="1"/>
  <c r="H21" i="2"/>
  <c r="I21" i="2" s="1"/>
  <c r="H19" i="2"/>
  <c r="I19" i="2" s="1"/>
  <c r="F19" i="2"/>
  <c r="G19" i="2" s="1"/>
  <c r="F17" i="2"/>
  <c r="G17" i="2" s="1"/>
  <c r="F16" i="2"/>
  <c r="G16" i="2" s="1"/>
  <c r="F12" i="2"/>
  <c r="G12" i="2" s="1"/>
  <c r="H11" i="2"/>
  <c r="I11" i="2" s="1"/>
  <c r="H23" i="2"/>
  <c r="I23" i="2" s="1"/>
  <c r="F23" i="2"/>
  <c r="G23" i="2" s="1"/>
  <c r="H20" i="2"/>
  <c r="I20" i="2" s="1"/>
  <c r="H17" i="2"/>
  <c r="I17" i="2" s="1"/>
  <c r="H16" i="2"/>
  <c r="I16" i="2" s="1"/>
  <c r="H15" i="2"/>
  <c r="I15" i="2" s="1"/>
  <c r="F15" i="2"/>
  <c r="G15" i="2" s="1"/>
  <c r="H10" i="2"/>
  <c r="I10" i="2" s="1"/>
  <c r="F10" i="2"/>
  <c r="G10" i="2" s="1"/>
  <c r="H9" i="2"/>
  <c r="I9" i="2" s="1"/>
  <c r="F9" i="2"/>
  <c r="G9" i="2" s="1"/>
  <c r="H8" i="2"/>
  <c r="I8" i="2" s="1"/>
  <c r="F8" i="2"/>
  <c r="G8" i="2" s="1"/>
  <c r="H7" i="2"/>
  <c r="I7" i="2" s="1"/>
  <c r="F7" i="2"/>
  <c r="G7" i="2" s="1"/>
  <c r="H6" i="2"/>
  <c r="I6" i="2" s="1"/>
  <c r="F6" i="2"/>
  <c r="G6" i="2" s="1"/>
  <c r="H5" i="2"/>
  <c r="I5" i="2" s="1"/>
  <c r="F5" i="2"/>
  <c r="G5" i="2" s="1"/>
  <c r="H4" i="2"/>
  <c r="I4" i="2" s="1"/>
  <c r="F4" i="2"/>
  <c r="G4" i="2" s="1"/>
  <c r="H29" i="2"/>
  <c r="I29" i="2" s="1"/>
  <c r="F28" i="2"/>
  <c r="G28" i="2" s="1"/>
  <c r="H25" i="2"/>
  <c r="I25" i="2" s="1"/>
  <c r="F25" i="2"/>
  <c r="G25" i="2" s="1"/>
  <c r="H24" i="2"/>
  <c r="I24" i="2" s="1"/>
  <c r="H22" i="2"/>
  <c r="I22" i="2" s="1"/>
  <c r="F22" i="2"/>
  <c r="G22" i="2" s="1"/>
  <c r="F21" i="2"/>
  <c r="G21" i="2" s="1"/>
  <c r="F20" i="2"/>
  <c r="G20" i="2" s="1"/>
  <c r="H18" i="2"/>
  <c r="I18" i="2" s="1"/>
  <c r="F18" i="2"/>
  <c r="G18" i="2" s="1"/>
  <c r="H14" i="2"/>
  <c r="I14" i="2" s="1"/>
  <c r="F14" i="2"/>
  <c r="G14" i="2" s="1"/>
  <c r="H13" i="2"/>
  <c r="I13" i="2" s="1"/>
  <c r="F13" i="2"/>
  <c r="G13" i="2" s="1"/>
  <c r="H12" i="2"/>
  <c r="I12" i="2" s="1"/>
  <c r="F11" i="2"/>
  <c r="G11" i="2" s="1"/>
  <c r="L38" i="1"/>
  <c r="H38" i="1"/>
  <c r="I38" i="1" s="1"/>
  <c r="L37" i="1"/>
  <c r="H37" i="1"/>
  <c r="I37" i="1" s="1"/>
  <c r="F37" i="1"/>
  <c r="G37" i="1" s="1"/>
  <c r="H36" i="1"/>
  <c r="I36" i="1" s="1"/>
  <c r="F36" i="1"/>
  <c r="G36" i="1" s="1"/>
  <c r="L34" i="1"/>
  <c r="H34" i="1"/>
  <c r="I34" i="1" s="1"/>
  <c r="F34" i="1"/>
  <c r="G34" i="1" s="1"/>
  <c r="L33" i="1"/>
  <c r="H33" i="1"/>
  <c r="I33" i="1" s="1"/>
  <c r="F33" i="1"/>
  <c r="G33" i="1" s="1"/>
  <c r="L32" i="1"/>
  <c r="L31" i="1"/>
  <c r="L30" i="1"/>
  <c r="H30" i="1"/>
  <c r="I30" i="1" s="1"/>
  <c r="F30" i="1"/>
  <c r="G30" i="1" s="1"/>
  <c r="L29" i="1"/>
  <c r="H29" i="1"/>
  <c r="I29" i="1" s="1"/>
  <c r="F29" i="1"/>
  <c r="G29" i="1" s="1"/>
  <c r="L28" i="1"/>
  <c r="H28" i="1"/>
  <c r="I28" i="1" s="1"/>
  <c r="F28" i="1"/>
  <c r="G28" i="1" s="1"/>
  <c r="L25" i="1"/>
  <c r="H25" i="1"/>
  <c r="I25" i="1" s="1"/>
  <c r="F25" i="1"/>
  <c r="G25" i="1" s="1"/>
  <c r="L24" i="1"/>
  <c r="H24" i="1"/>
  <c r="I24" i="1" s="1"/>
  <c r="F24" i="1"/>
  <c r="G24" i="1" s="1"/>
  <c r="L23" i="1"/>
  <c r="H23" i="1"/>
  <c r="I23" i="1" s="1"/>
  <c r="F23" i="1"/>
  <c r="G23" i="1" s="1"/>
  <c r="L22" i="1"/>
  <c r="H22" i="1"/>
  <c r="I22" i="1" s="1"/>
  <c r="F22" i="1"/>
  <c r="G22" i="1" s="1"/>
  <c r="L21" i="1"/>
  <c r="H20" i="1"/>
  <c r="I20" i="1" s="1"/>
  <c r="F20" i="1"/>
  <c r="G20" i="1" s="1"/>
  <c r="L19" i="1"/>
  <c r="H19" i="1"/>
  <c r="I19" i="1" s="1"/>
  <c r="F19" i="1"/>
  <c r="G19" i="1" s="1"/>
  <c r="O18" i="1"/>
  <c r="P18" i="1" s="1"/>
  <c r="L17" i="1"/>
  <c r="H17" i="1"/>
  <c r="I17" i="1" s="1"/>
  <c r="F17" i="1"/>
  <c r="G17" i="1" s="1"/>
  <c r="L16" i="1"/>
  <c r="H16" i="1"/>
  <c r="I16" i="1" s="1"/>
  <c r="F16" i="1"/>
  <c r="G16" i="1" s="1"/>
  <c r="L14" i="1"/>
  <c r="H14" i="1"/>
  <c r="I14" i="1" s="1"/>
  <c r="F14" i="1"/>
  <c r="G14" i="1" s="1"/>
  <c r="L13" i="1"/>
  <c r="H12" i="1"/>
  <c r="I12" i="1" s="1"/>
  <c r="F12" i="1"/>
  <c r="G12" i="1" s="1"/>
  <c r="H11" i="1"/>
  <c r="I11" i="1" s="1"/>
  <c r="F11" i="1"/>
  <c r="G11" i="1" s="1"/>
  <c r="L9" i="1"/>
  <c r="W8" i="1"/>
  <c r="X8" i="1" s="1"/>
  <c r="S8" i="1"/>
  <c r="T8" i="1" s="1"/>
  <c r="L5" i="1"/>
  <c r="H5" i="1"/>
  <c r="I5" i="1" s="1"/>
  <c r="H4" i="1"/>
  <c r="I4" i="1" s="1"/>
  <c r="F38" i="1"/>
  <c r="G38" i="1" s="1"/>
  <c r="L36" i="1"/>
  <c r="L35" i="1"/>
  <c r="H35" i="1"/>
  <c r="I35" i="1" s="1"/>
  <c r="F35" i="1"/>
  <c r="G35" i="1" s="1"/>
  <c r="H32" i="1"/>
  <c r="I32" i="1" s="1"/>
  <c r="F32" i="1"/>
  <c r="G32" i="1" s="1"/>
  <c r="H31" i="1"/>
  <c r="I31" i="1" s="1"/>
  <c r="F31" i="1"/>
  <c r="G31" i="1" s="1"/>
  <c r="H21" i="1"/>
  <c r="I21" i="1" s="1"/>
  <c r="F21" i="1"/>
  <c r="G21" i="1" s="1"/>
  <c r="L20" i="1"/>
  <c r="W18" i="1"/>
  <c r="X18" i="1" s="1"/>
  <c r="S18" i="1"/>
  <c r="T18" i="1" s="1"/>
  <c r="H18" i="1"/>
  <c r="I18" i="1" s="1"/>
  <c r="F18" i="1"/>
  <c r="G18" i="1" s="1"/>
  <c r="L15" i="1"/>
  <c r="H15" i="1"/>
  <c r="I15" i="1" s="1"/>
  <c r="F15" i="1"/>
  <c r="G15" i="1" s="1"/>
  <c r="H13" i="1"/>
  <c r="I13" i="1" s="1"/>
  <c r="F13" i="1"/>
  <c r="G13" i="1" s="1"/>
  <c r="L12" i="1"/>
  <c r="L11" i="1"/>
  <c r="L10" i="1"/>
  <c r="H10" i="1"/>
  <c r="I10" i="1" s="1"/>
  <c r="F10" i="1"/>
  <c r="G10" i="1" s="1"/>
  <c r="H9" i="1"/>
  <c r="I9" i="1" s="1"/>
  <c r="F9" i="1"/>
  <c r="G9" i="1" s="1"/>
  <c r="O8" i="1"/>
  <c r="P8" i="1" s="1"/>
  <c r="H8" i="1"/>
  <c r="I8" i="1" s="1"/>
  <c r="F8" i="1"/>
  <c r="G8" i="1" s="1"/>
  <c r="L7" i="1"/>
  <c r="H7" i="1"/>
  <c r="I7" i="1" s="1"/>
  <c r="F7" i="1"/>
  <c r="G7" i="1" s="1"/>
  <c r="L6" i="1"/>
  <c r="H6" i="1"/>
  <c r="I6" i="1" s="1"/>
  <c r="F6" i="1"/>
  <c r="G6" i="1" s="1"/>
  <c r="F5" i="1"/>
  <c r="G5" i="1" s="1"/>
  <c r="L4" i="1"/>
  <c r="F4" i="1"/>
  <c r="G4" i="1" s="1"/>
  <c r="M38" i="2" l="1"/>
  <c r="N38" i="2" s="1"/>
  <c r="O38" i="2"/>
  <c r="P38" i="2" s="1"/>
  <c r="M37" i="2"/>
  <c r="N37" i="2" s="1"/>
  <c r="O37" i="2"/>
  <c r="P37" i="2" s="1"/>
  <c r="M36" i="2"/>
  <c r="N36" i="2" s="1"/>
  <c r="O36" i="2"/>
  <c r="P36" i="2" s="1"/>
  <c r="M35" i="2"/>
  <c r="N35" i="2" s="1"/>
  <c r="O35" i="2"/>
  <c r="P35" i="2" s="1"/>
  <c r="M34" i="2"/>
  <c r="N34" i="2" s="1"/>
  <c r="O34" i="2"/>
  <c r="P34" i="2" s="1"/>
  <c r="M33" i="2"/>
  <c r="N33" i="2" s="1"/>
  <c r="O33" i="2"/>
  <c r="P33" i="2" s="1"/>
  <c r="M32" i="2"/>
  <c r="N32" i="2" s="1"/>
  <c r="O32" i="2"/>
  <c r="P32" i="2" s="1"/>
  <c r="M31" i="2"/>
  <c r="N31" i="2" s="1"/>
  <c r="O31" i="2"/>
  <c r="P31" i="2" s="1"/>
  <c r="O29" i="2"/>
  <c r="P29" i="2" s="1"/>
  <c r="M29" i="2"/>
  <c r="N29" i="2" s="1"/>
  <c r="M28" i="2"/>
  <c r="N28" i="2" s="1"/>
  <c r="O28" i="2"/>
  <c r="P28" i="2" s="1"/>
  <c r="N4" i="2"/>
  <c r="M30" i="2"/>
  <c r="N30" i="2" s="1"/>
  <c r="O30" i="2"/>
  <c r="P30" i="2" s="1"/>
  <c r="O38" i="1"/>
  <c r="P38" i="1" s="1"/>
  <c r="S38" i="1"/>
  <c r="T38" i="1" s="1"/>
  <c r="W38" i="1"/>
  <c r="X38" i="1" s="1"/>
  <c r="O37" i="1"/>
  <c r="P37" i="1" s="1"/>
  <c r="S37" i="1"/>
  <c r="T37" i="1" s="1"/>
  <c r="W37" i="1"/>
  <c r="X37" i="1" s="1"/>
  <c r="O34" i="1"/>
  <c r="P34" i="1" s="1"/>
  <c r="S34" i="1"/>
  <c r="T34" i="1" s="1"/>
  <c r="W34" i="1"/>
  <c r="X34" i="1" s="1"/>
  <c r="O33" i="1"/>
  <c r="P33" i="1" s="1"/>
  <c r="S33" i="1"/>
  <c r="T33" i="1" s="1"/>
  <c r="W33" i="1"/>
  <c r="X33" i="1" s="1"/>
  <c r="S32" i="1"/>
  <c r="T32" i="1" s="1"/>
  <c r="W32" i="1"/>
  <c r="X32" i="1" s="1"/>
  <c r="O32" i="1"/>
  <c r="P32" i="1" s="1"/>
  <c r="O31" i="1"/>
  <c r="P31" i="1" s="1"/>
  <c r="S31" i="1"/>
  <c r="T31" i="1" s="1"/>
  <c r="W31" i="1"/>
  <c r="X31" i="1" s="1"/>
  <c r="O30" i="1"/>
  <c r="P30" i="1" s="1"/>
  <c r="S30" i="1"/>
  <c r="T30" i="1" s="1"/>
  <c r="W30" i="1"/>
  <c r="X30" i="1" s="1"/>
  <c r="O29" i="1"/>
  <c r="P29" i="1" s="1"/>
  <c r="S29" i="1"/>
  <c r="T29" i="1" s="1"/>
  <c r="W29" i="1"/>
  <c r="X29" i="1" s="1"/>
  <c r="O28" i="1"/>
  <c r="P28" i="1" s="1"/>
  <c r="S28" i="1"/>
  <c r="T28" i="1" s="1"/>
  <c r="W28" i="1"/>
  <c r="X28" i="1" s="1"/>
  <c r="O25" i="1"/>
  <c r="P25" i="1" s="1"/>
  <c r="S25" i="1"/>
  <c r="T25" i="1" s="1"/>
  <c r="W25" i="1"/>
  <c r="X25" i="1" s="1"/>
  <c r="O24" i="1"/>
  <c r="P24" i="1" s="1"/>
  <c r="S24" i="1"/>
  <c r="T24" i="1" s="1"/>
  <c r="W24" i="1"/>
  <c r="X24" i="1" s="1"/>
  <c r="O23" i="1"/>
  <c r="P23" i="1" s="1"/>
  <c r="S23" i="1"/>
  <c r="T23" i="1" s="1"/>
  <c r="W23" i="1"/>
  <c r="X23" i="1" s="1"/>
  <c r="O22" i="1"/>
  <c r="P22" i="1" s="1"/>
  <c r="S22" i="1"/>
  <c r="T22" i="1" s="1"/>
  <c r="W22" i="1"/>
  <c r="X22" i="1" s="1"/>
  <c r="W21" i="1"/>
  <c r="X21" i="1" s="1"/>
  <c r="O21" i="1"/>
  <c r="P21" i="1" s="1"/>
  <c r="S21" i="1"/>
  <c r="T21" i="1" s="1"/>
  <c r="O19" i="1"/>
  <c r="P19" i="1" s="1"/>
  <c r="W19" i="1"/>
  <c r="X19" i="1" s="1"/>
  <c r="S19" i="1"/>
  <c r="T19" i="1" s="1"/>
  <c r="W17" i="1"/>
  <c r="X17" i="1" s="1"/>
  <c r="O17" i="1"/>
  <c r="P17" i="1" s="1"/>
  <c r="S17" i="1"/>
  <c r="T17" i="1" s="1"/>
  <c r="W16" i="1"/>
  <c r="X16" i="1" s="1"/>
  <c r="O16" i="1"/>
  <c r="P16" i="1" s="1"/>
  <c r="S16" i="1"/>
  <c r="T16" i="1" s="1"/>
  <c r="O14" i="1"/>
  <c r="P14" i="1" s="1"/>
  <c r="S14" i="1"/>
  <c r="T14" i="1" s="1"/>
  <c r="W14" i="1"/>
  <c r="X14" i="1" s="1"/>
  <c r="W13" i="1"/>
  <c r="X13" i="1" s="1"/>
  <c r="O13" i="1"/>
  <c r="P13" i="1" s="1"/>
  <c r="S13" i="1"/>
  <c r="T13" i="1" s="1"/>
  <c r="O9" i="1"/>
  <c r="P9" i="1" s="1"/>
  <c r="S9" i="1"/>
  <c r="T9" i="1" s="1"/>
  <c r="W9" i="1"/>
  <c r="X9" i="1" s="1"/>
  <c r="O5" i="1"/>
  <c r="P5" i="1" s="1"/>
  <c r="S5" i="1"/>
  <c r="T5" i="1" s="1"/>
  <c r="W5" i="1"/>
  <c r="X5" i="1" s="1"/>
  <c r="O36" i="1"/>
  <c r="P36" i="1" s="1"/>
  <c r="S36" i="1"/>
  <c r="T36" i="1" s="1"/>
  <c r="W36" i="1"/>
  <c r="X36" i="1" s="1"/>
  <c r="O35" i="1"/>
  <c r="P35" i="1" s="1"/>
  <c r="S35" i="1"/>
  <c r="T35" i="1" s="1"/>
  <c r="W35" i="1"/>
  <c r="X35" i="1" s="1"/>
  <c r="W20" i="1"/>
  <c r="X20" i="1" s="1"/>
  <c r="O20" i="1"/>
  <c r="P20" i="1" s="1"/>
  <c r="S20" i="1"/>
  <c r="T20" i="1" s="1"/>
  <c r="O15" i="1"/>
  <c r="P15" i="1" s="1"/>
  <c r="S15" i="1"/>
  <c r="T15" i="1" s="1"/>
  <c r="W15" i="1"/>
  <c r="X15" i="1" s="1"/>
  <c r="W12" i="1"/>
  <c r="X12" i="1" s="1"/>
  <c r="O12" i="1"/>
  <c r="P12" i="1" s="1"/>
  <c r="S12" i="1"/>
  <c r="T12" i="1" s="1"/>
  <c r="O11" i="1"/>
  <c r="P11" i="1" s="1"/>
  <c r="S11" i="1"/>
  <c r="T11" i="1" s="1"/>
  <c r="W11" i="1"/>
  <c r="X11" i="1" s="1"/>
  <c r="O10" i="1"/>
  <c r="P10" i="1" s="1"/>
  <c r="S10" i="1"/>
  <c r="T10" i="1" s="1"/>
  <c r="W10" i="1"/>
  <c r="X10" i="1" s="1"/>
  <c r="O7" i="1"/>
  <c r="P7" i="1" s="1"/>
  <c r="S7" i="1"/>
  <c r="T7" i="1" s="1"/>
  <c r="W7" i="1"/>
  <c r="X7" i="1" s="1"/>
  <c r="O6" i="1"/>
  <c r="P6" i="1" s="1"/>
  <c r="S6" i="1"/>
  <c r="T6" i="1" s="1"/>
  <c r="W6" i="1"/>
  <c r="X6" i="1" s="1"/>
  <c r="O4" i="1"/>
  <c r="P4" i="1" s="1"/>
  <c r="S4" i="1"/>
  <c r="T4" i="1" s="1"/>
  <c r="W4" i="1"/>
  <c r="X4" i="1" s="1"/>
</calcChain>
</file>

<file path=xl/sharedStrings.xml><?xml version="1.0" encoding="utf-8"?>
<sst xmlns="http://schemas.openxmlformats.org/spreadsheetml/2006/main" count="192" uniqueCount="54">
  <si>
    <t>Old Strcture</t>
  </si>
  <si>
    <t>New Structure @15% Hike in MRP</t>
  </si>
  <si>
    <t>Sr No</t>
  </si>
  <si>
    <t>Name</t>
    <phoneticPr fontId="0" type="noConversion"/>
  </si>
  <si>
    <t>Pack Size</t>
  </si>
  <si>
    <t>MRP</t>
  </si>
  <si>
    <t>Doctor Price @10% Discount</t>
  </si>
  <si>
    <t>Offer 5+1 Bill Value 
(incl. GST)</t>
  </si>
  <si>
    <t>Effective Net Price
(incl. GST)</t>
  </si>
  <si>
    <t>Offer 10+3 Bill Value (Incl. GST)</t>
  </si>
  <si>
    <t>Offer 10+5 
Bill Value 
(Incl. GST)</t>
  </si>
  <si>
    <t>Doctor Price @20% Discount</t>
  </si>
  <si>
    <t>HYDROJELLYMASK</t>
  </si>
  <si>
    <t xml:space="preserve">ANTIOXIDANT GOJI </t>
  </si>
  <si>
    <t>850ml</t>
  </si>
  <si>
    <t xml:space="preserve">SUPER GREENS STRENGTH </t>
  </si>
  <si>
    <t xml:space="preserve">BRIGHTENING COMPLEX </t>
  </si>
  <si>
    <t xml:space="preserve">BELGIUM CACAO </t>
  </si>
  <si>
    <t xml:space="preserve">EGYPTIAN ROSE </t>
  </si>
  <si>
    <t xml:space="preserve">PURE HIMALAYAN WHITE TEA </t>
  </si>
  <si>
    <t>RESILIANCE CAVIAR HYDROJELLY</t>
  </si>
  <si>
    <t xml:space="preserve">AUSTRALIAN SHEEP PLACENTA </t>
  </si>
  <si>
    <t xml:space="preserve">RE-NEWAL </t>
  </si>
  <si>
    <t xml:space="preserve">RADIANCE BIOTIN </t>
  </si>
  <si>
    <t xml:space="preserve">INTENSIVE AFTERCARE </t>
  </si>
  <si>
    <t xml:space="preserve">HYALURONIC ACID </t>
  </si>
  <si>
    <t>BETA-CAROTENE</t>
  </si>
  <si>
    <t>CICA COMPLEX</t>
  </si>
  <si>
    <t>ILLUMINATING ORANGE</t>
  </si>
  <si>
    <t>PHYTO-NUTRIENTS BLAST</t>
  </si>
  <si>
    <t>SKIN WARRIOR AGELESS</t>
  </si>
  <si>
    <t>PURIFYING CHARCOAL</t>
  </si>
  <si>
    <t>VAMPIRE INFUSION</t>
  </si>
  <si>
    <t>SPOT DIMINISHING ALA</t>
  </si>
  <si>
    <t>CBD DOPE</t>
  </si>
  <si>
    <t>YOUTHFUL ELIXIR</t>
  </si>
  <si>
    <t>RETAIL HYDROJELLYMASK</t>
  </si>
  <si>
    <t>2masks/Box</t>
  </si>
  <si>
    <t>PHYTO NUTRIENTS</t>
  </si>
  <si>
    <t>Foot Mask</t>
  </si>
  <si>
    <t>COLLAGEN FOOT MASK</t>
  </si>
  <si>
    <t>5 pairs/pack</t>
  </si>
  <si>
    <t>Offer 3+1 MRP Value 
(incl. GST)</t>
  </si>
  <si>
    <t>Offer 3+1 Disc Value 
(incl. GST)</t>
  </si>
  <si>
    <t>Offer 5+2 MRP Value 
(incl. GST)</t>
  </si>
  <si>
    <t>Offer 5+2 Disc Value 
(incl. GST)</t>
  </si>
  <si>
    <t>Offer 10+5 MRP Value 
(incl. GST)</t>
  </si>
  <si>
    <t>Effective Net Price 
(incl. GST)</t>
  </si>
  <si>
    <t>Corporate
10+8 Offer MRP Value</t>
  </si>
  <si>
    <r>
      <rPr>
        <b/>
        <sz val="11"/>
        <color theme="1"/>
        <rFont val="Calibri"/>
        <family val="2"/>
        <scheme val="minor"/>
      </rPr>
      <t>Corporate Offer
20+12</t>
    </r>
    <r>
      <rPr>
        <sz val="11"/>
        <color theme="1"/>
        <rFont val="Calibri"/>
        <family val="2"/>
        <scheme val="minor"/>
      </rPr>
      <t xml:space="preserve"> MRP Value</t>
    </r>
  </si>
  <si>
    <r>
      <rPr>
        <b/>
        <sz val="11"/>
        <color theme="1"/>
        <rFont val="Calibri"/>
        <family val="2"/>
        <scheme val="minor"/>
      </rPr>
      <t>Corporate Offer
50+35</t>
    </r>
    <r>
      <rPr>
        <sz val="11"/>
        <color theme="1"/>
        <rFont val="Calibri"/>
        <family val="2"/>
        <scheme val="minor"/>
      </rPr>
      <t xml:space="preserve"> MRP Value</t>
    </r>
  </si>
  <si>
    <r>
      <rPr>
        <b/>
        <sz val="11"/>
        <color theme="1"/>
        <rFont val="Calibri"/>
        <family val="2"/>
        <scheme val="minor"/>
      </rPr>
      <t>Corporate Offer
100+100</t>
    </r>
    <r>
      <rPr>
        <sz val="11"/>
        <color theme="1"/>
        <rFont val="Calibri"/>
        <family val="2"/>
        <scheme val="minor"/>
      </rPr>
      <t xml:space="preserve"> MRP Value</t>
    </r>
  </si>
  <si>
    <t xml:space="preserve">Offer 10+4
MRP Value </t>
  </si>
  <si>
    <t xml:space="preserve">Offer 5+2 MRP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</si>
</sst>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0" fillId="0" borderId="12" xfId="0" applyBorder="1"/>
    <xf numFmtId="0" fontId="0" fillId="4" borderId="0" xfId="0" applyFill="1"/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4" fillId="5" borderId="1" xfId="1" applyFont="1" applyFill="1" applyBorder="1" applyAlignment="1" applyProtection="1">
      <alignment horizontal="center" vertical="center" wrapText="1"/>
    </xf>
    <xf numFmtId="164" fontId="4" fillId="3" borderId="1" xfId="1" applyNumberFormat="1" applyFont="1" applyFill="1" applyBorder="1" applyAlignment="1" applyProtection="1">
      <alignment horizontal="center" vertical="center" wrapText="1"/>
    </xf>
    <xf numFmtId="164" fontId="0" fillId="0" borderId="1" xfId="0" applyNumberFormat="1" applyBorder="1"/>
    <xf numFmtId="164" fontId="0" fillId="4" borderId="1" xfId="0" applyNumberFormat="1" applyFill="1" applyBorder="1"/>
    <xf numFmtId="164" fontId="4" fillId="3" borderId="7" xfId="1" applyNumberFormat="1" applyFont="1" applyFill="1" applyBorder="1" applyAlignment="1" applyProtection="1">
      <alignment horizontal="center" vertical="center" wrapText="1"/>
    </xf>
    <xf numFmtId="164" fontId="0" fillId="4" borderId="6" xfId="0" applyNumberFormat="1" applyFill="1" applyBorder="1"/>
    <xf numFmtId="164" fontId="0" fillId="0" borderId="6" xfId="0" applyNumberFormat="1" applyBorder="1"/>
    <xf numFmtId="0" fontId="0" fillId="5" borderId="1" xfId="0" applyFill="1" applyBorder="1" applyAlignment="1">
      <alignment vertical="center"/>
    </xf>
    <xf numFmtId="164" fontId="0" fillId="0" borderId="0" xfId="0" applyNumberFormat="1"/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5" borderId="1" xfId="1" applyFont="1" applyFill="1" applyBorder="1" applyAlignment="1" applyProtection="1">
      <alignment horizontal="center" vertical="center"/>
    </xf>
    <xf numFmtId="164" fontId="0" fillId="0" borderId="13" xfId="0" applyNumberFormat="1" applyBorder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4" fillId="5" borderId="0" xfId="1" applyFont="1" applyFill="1" applyBorder="1" applyAlignment="1" applyProtection="1">
      <alignment horizontal="center" vertical="center"/>
    </xf>
    <xf numFmtId="164" fontId="4" fillId="5" borderId="0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4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0" xfId="0" applyFill="1"/>
    <xf numFmtId="164" fontId="0" fillId="6" borderId="1" xfId="0" applyNumberFormat="1" applyFill="1" applyBorder="1"/>
    <xf numFmtId="164" fontId="0" fillId="6" borderId="6" xfId="0" applyNumberFormat="1" applyFill="1" applyBorder="1"/>
    <xf numFmtId="0" fontId="0" fillId="6" borderId="6" xfId="0" applyFill="1" applyBorder="1" applyAlignment="1">
      <alignment horizontal="center" vertical="center" wrapText="1"/>
    </xf>
    <xf numFmtId="0" fontId="0" fillId="6" borderId="0" xfId="0" applyFill="1" applyBorder="1"/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/>
    <xf numFmtId="164" fontId="0" fillId="7" borderId="1" xfId="0" applyNumberFormat="1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0" xfId="0" applyFill="1" applyBorder="1"/>
    <xf numFmtId="0" fontId="0" fillId="7" borderId="6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1" xfId="0" applyFill="1" applyBorder="1"/>
    <xf numFmtId="164" fontId="0" fillId="8" borderId="1" xfId="0" applyNumberForma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1" xfId="0" applyFill="1" applyBorder="1"/>
    <xf numFmtId="164" fontId="0" fillId="9" borderId="1" xfId="0" applyNumberFormat="1" applyFill="1" applyBorder="1"/>
    <xf numFmtId="0" fontId="0" fillId="8" borderId="9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0" xfId="0" applyFill="1"/>
    <xf numFmtId="0" fontId="0" fillId="9" borderId="9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0" xfId="0" applyFill="1"/>
    <xf numFmtId="164" fontId="0" fillId="9" borderId="6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67D3-D4C1-4DBE-A861-D2051F4184C8}">
  <dimension ref="A1:V41"/>
  <sheetViews>
    <sheetView topLeftCell="L1" workbookViewId="0">
      <selection activeCell="N8" sqref="N8"/>
    </sheetView>
  </sheetViews>
  <sheetFormatPr defaultRowHeight="14.4" x14ac:dyDescent="0.3"/>
  <cols>
    <col min="2" max="2" width="31.109375" bestFit="1" customWidth="1"/>
    <col min="3" max="3" width="10.88671875" bestFit="1" customWidth="1"/>
    <col min="4" max="4" width="11.77734375" customWidth="1"/>
    <col min="5" max="5" width="11.109375" bestFit="1" customWidth="1"/>
    <col min="6" max="7" width="11.44140625" customWidth="1"/>
    <col min="8" max="8" width="13.6640625" customWidth="1"/>
    <col min="9" max="9" width="11.77734375" customWidth="1"/>
    <col min="11" max="16" width="14.33203125" customWidth="1"/>
    <col min="17" max="17" width="17.5546875" customWidth="1"/>
    <col min="18" max="18" width="16.77734375" customWidth="1"/>
    <col min="19" max="19" width="17.6640625" customWidth="1"/>
    <col min="20" max="20" width="18.44140625" customWidth="1"/>
    <col min="21" max="21" width="18.109375" customWidth="1"/>
    <col min="22" max="22" width="17.77734375" customWidth="1"/>
  </cols>
  <sheetData>
    <row r="1" spans="1:22" ht="15.6" x14ac:dyDescent="0.3">
      <c r="D1" s="38" t="s">
        <v>0</v>
      </c>
      <c r="E1" s="38"/>
      <c r="F1" s="38"/>
      <c r="G1" s="38"/>
      <c r="H1" s="38"/>
      <c r="I1" s="38"/>
      <c r="J1" s="1"/>
      <c r="K1" s="39" t="s">
        <v>1</v>
      </c>
      <c r="L1" s="40"/>
      <c r="M1" s="40"/>
      <c r="N1" s="42"/>
      <c r="O1" s="42"/>
      <c r="P1" s="41"/>
    </row>
    <row r="2" spans="1:22" ht="43.2" x14ac:dyDescent="0.3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4" t="s">
        <v>8</v>
      </c>
      <c r="K2" s="5" t="s">
        <v>5</v>
      </c>
      <c r="L2" s="6" t="s">
        <v>6</v>
      </c>
      <c r="M2" s="6" t="s">
        <v>53</v>
      </c>
      <c r="N2" s="7" t="s">
        <v>8</v>
      </c>
      <c r="O2" s="8" t="s">
        <v>52</v>
      </c>
      <c r="P2" s="55" t="s">
        <v>8</v>
      </c>
      <c r="Q2" s="51" t="s">
        <v>49</v>
      </c>
      <c r="R2" s="57" t="s">
        <v>8</v>
      </c>
      <c r="S2" s="58" t="s">
        <v>50</v>
      </c>
      <c r="T2" s="59" t="s">
        <v>8</v>
      </c>
      <c r="U2" s="62" t="s">
        <v>51</v>
      </c>
      <c r="V2" s="63" t="s">
        <v>8</v>
      </c>
    </row>
    <row r="3" spans="1:22" x14ac:dyDescent="0.3">
      <c r="A3" s="9" t="s">
        <v>12</v>
      </c>
      <c r="B3" s="10"/>
      <c r="C3" s="10"/>
      <c r="D3" s="11"/>
      <c r="E3" s="11"/>
      <c r="F3" s="11"/>
      <c r="G3" s="12"/>
      <c r="H3" s="11"/>
      <c r="I3" s="12"/>
      <c r="K3" s="13"/>
      <c r="N3" s="14"/>
      <c r="P3" s="56"/>
      <c r="Q3" s="52"/>
      <c r="R3" s="52"/>
      <c r="S3" s="60"/>
      <c r="T3" s="60"/>
      <c r="U3" s="64"/>
      <c r="V3" s="64"/>
    </row>
    <row r="4" spans="1:22" x14ac:dyDescent="0.3">
      <c r="A4" s="15">
        <v>1</v>
      </c>
      <c r="B4" s="16" t="s">
        <v>13</v>
      </c>
      <c r="C4" s="17" t="s">
        <v>14</v>
      </c>
      <c r="D4" s="18">
        <v>9990</v>
      </c>
      <c r="E4" s="19">
        <f>D4-(D4*0.1)</f>
        <v>8991</v>
      </c>
      <c r="F4" s="19">
        <f>E4*5</f>
        <v>44955</v>
      </c>
      <c r="G4" s="20">
        <f>F4/6</f>
        <v>7492.5</v>
      </c>
      <c r="H4" s="19">
        <f>E4*10</f>
        <v>89910</v>
      </c>
      <c r="I4" s="20">
        <f>H4/13</f>
        <v>6916.1538461538457</v>
      </c>
      <c r="K4" s="21">
        <f>D4*1.15</f>
        <v>11488.5</v>
      </c>
      <c r="L4" s="19">
        <f>K4-(K4*0.1)</f>
        <v>10339.65</v>
      </c>
      <c r="M4" s="19">
        <f>K4*5</f>
        <v>57442.5</v>
      </c>
      <c r="N4" s="22">
        <f>M4/7</f>
        <v>8206.0714285714294</v>
      </c>
      <c r="O4" s="23">
        <f>K4*10</f>
        <v>114885</v>
      </c>
      <c r="P4" s="22">
        <f>O4/14</f>
        <v>8206.0714285714294</v>
      </c>
      <c r="Q4" s="53">
        <f>K4*20</f>
        <v>229770</v>
      </c>
      <c r="R4" s="53">
        <f>Q4/32</f>
        <v>7180.3125</v>
      </c>
      <c r="S4" s="61">
        <f>K4*50</f>
        <v>574425</v>
      </c>
      <c r="T4" s="61">
        <f>S4/85</f>
        <v>6757.9411764705883</v>
      </c>
      <c r="U4" s="65">
        <f>K4*100</f>
        <v>1148850</v>
      </c>
      <c r="V4" s="65">
        <f>U4/200</f>
        <v>5744.25</v>
      </c>
    </row>
    <row r="5" spans="1:22" x14ac:dyDescent="0.3">
      <c r="A5" s="15">
        <v>2</v>
      </c>
      <c r="B5" s="16" t="s">
        <v>15</v>
      </c>
      <c r="C5" s="17" t="s">
        <v>14</v>
      </c>
      <c r="D5" s="18">
        <v>9990</v>
      </c>
      <c r="E5" s="19">
        <f t="shared" ref="E5:E25" si="0">D5-(D5*0.1)</f>
        <v>8991</v>
      </c>
      <c r="F5" s="19">
        <f t="shared" ref="F5:F25" si="1">E5*5</f>
        <v>44955</v>
      </c>
      <c r="G5" s="20">
        <f t="shared" ref="G5:G38" si="2">F5/6</f>
        <v>7492.5</v>
      </c>
      <c r="H5" s="19">
        <f t="shared" ref="H5:H38" si="3">E5*10</f>
        <v>89910</v>
      </c>
      <c r="I5" s="20">
        <f t="shared" ref="I5:I38" si="4">H5/13</f>
        <v>6916.1538461538457</v>
      </c>
      <c r="K5" s="21">
        <f>D5*1.15</f>
        <v>11488.5</v>
      </c>
      <c r="L5" s="19">
        <f t="shared" ref="L5:L25" si="5">K5-(K5*0.1)</f>
        <v>10339.65</v>
      </c>
      <c r="M5" s="19">
        <f t="shared" ref="M5:M25" si="6">K5*5</f>
        <v>57442.5</v>
      </c>
      <c r="N5" s="22">
        <f t="shared" ref="N5:N25" si="7">M5/7</f>
        <v>8206.0714285714294</v>
      </c>
      <c r="O5" s="23">
        <f t="shared" ref="O5:O25" si="8">K5*10</f>
        <v>114885</v>
      </c>
      <c r="P5" s="22">
        <f t="shared" ref="P5:P25" si="9">O5/14</f>
        <v>8206.0714285714294</v>
      </c>
      <c r="Q5" s="53">
        <f t="shared" ref="Q5:Q25" si="10">K5*20</f>
        <v>229770</v>
      </c>
      <c r="R5" s="53">
        <f t="shared" ref="R5:R25" si="11">Q5/32</f>
        <v>7180.3125</v>
      </c>
      <c r="S5" s="61">
        <f t="shared" ref="S5:S25" si="12">K5*50</f>
        <v>574425</v>
      </c>
      <c r="T5" s="61">
        <f t="shared" ref="T5:T25" si="13">S5/85</f>
        <v>6757.9411764705883</v>
      </c>
      <c r="U5" s="65">
        <f t="shared" ref="U5:U25" si="14">K5*100</f>
        <v>1148850</v>
      </c>
      <c r="V5" s="65">
        <f t="shared" ref="V5:V25" si="15">U5/200</f>
        <v>5744.25</v>
      </c>
    </row>
    <row r="6" spans="1:22" x14ac:dyDescent="0.3">
      <c r="A6" s="15">
        <v>3</v>
      </c>
      <c r="B6" s="16" t="s">
        <v>16</v>
      </c>
      <c r="C6" s="17" t="s">
        <v>14</v>
      </c>
      <c r="D6" s="18">
        <v>9990</v>
      </c>
      <c r="E6" s="19">
        <f t="shared" si="0"/>
        <v>8991</v>
      </c>
      <c r="F6" s="19">
        <f t="shared" si="1"/>
        <v>44955</v>
      </c>
      <c r="G6" s="20">
        <f t="shared" si="2"/>
        <v>7492.5</v>
      </c>
      <c r="H6" s="19">
        <f t="shared" si="3"/>
        <v>89910</v>
      </c>
      <c r="I6" s="20">
        <f t="shared" si="4"/>
        <v>6916.1538461538457</v>
      </c>
      <c r="K6" s="21">
        <f>D6*1.15</f>
        <v>11488.5</v>
      </c>
      <c r="L6" s="19">
        <f t="shared" si="5"/>
        <v>10339.65</v>
      </c>
      <c r="M6" s="19">
        <f t="shared" si="6"/>
        <v>57442.5</v>
      </c>
      <c r="N6" s="22">
        <f t="shared" si="7"/>
        <v>8206.0714285714294</v>
      </c>
      <c r="O6" s="23">
        <f t="shared" si="8"/>
        <v>114885</v>
      </c>
      <c r="P6" s="22">
        <f t="shared" si="9"/>
        <v>8206.0714285714294</v>
      </c>
      <c r="Q6" s="53">
        <f t="shared" si="10"/>
        <v>229770</v>
      </c>
      <c r="R6" s="53">
        <f t="shared" si="11"/>
        <v>7180.3125</v>
      </c>
      <c r="S6" s="61">
        <f t="shared" si="12"/>
        <v>574425</v>
      </c>
      <c r="T6" s="61">
        <f t="shared" si="13"/>
        <v>6757.9411764705883</v>
      </c>
      <c r="U6" s="65">
        <f t="shared" si="14"/>
        <v>1148850</v>
      </c>
      <c r="V6" s="65">
        <f t="shared" si="15"/>
        <v>5744.25</v>
      </c>
    </row>
    <row r="7" spans="1:22" x14ac:dyDescent="0.3">
      <c r="A7" s="15">
        <v>4</v>
      </c>
      <c r="B7" s="24" t="s">
        <v>17</v>
      </c>
      <c r="C7" s="17" t="s">
        <v>14</v>
      </c>
      <c r="D7" s="18">
        <v>8990</v>
      </c>
      <c r="E7" s="19">
        <f t="shared" si="0"/>
        <v>8091</v>
      </c>
      <c r="F7" s="19">
        <f t="shared" si="1"/>
        <v>40455</v>
      </c>
      <c r="G7" s="20">
        <f t="shared" si="2"/>
        <v>6742.5</v>
      </c>
      <c r="H7" s="19">
        <f t="shared" si="3"/>
        <v>80910</v>
      </c>
      <c r="I7" s="20">
        <f t="shared" si="4"/>
        <v>6223.8461538461543</v>
      </c>
      <c r="K7" s="21">
        <f>D7*1.15</f>
        <v>10338.5</v>
      </c>
      <c r="L7" s="19">
        <f t="shared" si="5"/>
        <v>9304.65</v>
      </c>
      <c r="M7" s="19">
        <f t="shared" si="6"/>
        <v>51692.5</v>
      </c>
      <c r="N7" s="22">
        <f t="shared" si="7"/>
        <v>7384.6428571428569</v>
      </c>
      <c r="O7" s="23">
        <f t="shared" si="8"/>
        <v>103385</v>
      </c>
      <c r="P7" s="22">
        <f t="shared" si="9"/>
        <v>7384.6428571428569</v>
      </c>
      <c r="Q7" s="53">
        <f t="shared" si="10"/>
        <v>206770</v>
      </c>
      <c r="R7" s="53">
        <f t="shared" si="11"/>
        <v>6461.5625</v>
      </c>
      <c r="S7" s="61">
        <f t="shared" si="12"/>
        <v>516925</v>
      </c>
      <c r="T7" s="61">
        <f t="shared" si="13"/>
        <v>6081.4705882352937</v>
      </c>
      <c r="U7" s="65">
        <f t="shared" si="14"/>
        <v>1033850</v>
      </c>
      <c r="V7" s="65">
        <f t="shared" si="15"/>
        <v>5169.25</v>
      </c>
    </row>
    <row r="8" spans="1:22" x14ac:dyDescent="0.3">
      <c r="A8" s="15">
        <v>5</v>
      </c>
      <c r="B8" s="16" t="s">
        <v>18</v>
      </c>
      <c r="C8" s="17" t="s">
        <v>14</v>
      </c>
      <c r="D8" s="18">
        <v>9990</v>
      </c>
      <c r="E8" s="19">
        <f t="shared" si="0"/>
        <v>8991</v>
      </c>
      <c r="F8" s="19">
        <f t="shared" si="1"/>
        <v>44955</v>
      </c>
      <c r="G8" s="20">
        <f t="shared" si="2"/>
        <v>7492.5</v>
      </c>
      <c r="H8" s="19">
        <f t="shared" si="3"/>
        <v>89910</v>
      </c>
      <c r="I8" s="20">
        <f t="shared" si="4"/>
        <v>6916.1538461538457</v>
      </c>
      <c r="K8" s="21">
        <f>D8*1.15</f>
        <v>11488.5</v>
      </c>
      <c r="L8" s="19">
        <f t="shared" si="5"/>
        <v>10339.65</v>
      </c>
      <c r="M8" s="19">
        <f t="shared" si="6"/>
        <v>57442.5</v>
      </c>
      <c r="N8" s="22">
        <f t="shared" si="7"/>
        <v>8206.0714285714294</v>
      </c>
      <c r="O8" s="23">
        <f t="shared" si="8"/>
        <v>114885</v>
      </c>
      <c r="P8" s="22">
        <f t="shared" si="9"/>
        <v>8206.0714285714294</v>
      </c>
      <c r="Q8" s="53">
        <f t="shared" si="10"/>
        <v>229770</v>
      </c>
      <c r="R8" s="53">
        <f t="shared" si="11"/>
        <v>7180.3125</v>
      </c>
      <c r="S8" s="61">
        <f t="shared" si="12"/>
        <v>574425</v>
      </c>
      <c r="T8" s="61">
        <f t="shared" si="13"/>
        <v>6757.9411764705883</v>
      </c>
      <c r="U8" s="65">
        <f t="shared" si="14"/>
        <v>1148850</v>
      </c>
      <c r="V8" s="65">
        <f t="shared" si="15"/>
        <v>5744.25</v>
      </c>
    </row>
    <row r="9" spans="1:22" x14ac:dyDescent="0.3">
      <c r="A9" s="15">
        <v>6</v>
      </c>
      <c r="B9" s="24" t="s">
        <v>19</v>
      </c>
      <c r="C9" s="17" t="s">
        <v>14</v>
      </c>
      <c r="D9" s="18">
        <v>9490</v>
      </c>
      <c r="E9" s="19">
        <f t="shared" si="0"/>
        <v>8541</v>
      </c>
      <c r="F9" s="19">
        <f t="shared" si="1"/>
        <v>42705</v>
      </c>
      <c r="G9" s="20">
        <f t="shared" si="2"/>
        <v>7117.5</v>
      </c>
      <c r="H9" s="19">
        <f t="shared" si="3"/>
        <v>85410</v>
      </c>
      <c r="I9" s="20">
        <f t="shared" si="4"/>
        <v>6570</v>
      </c>
      <c r="K9" s="21">
        <f>D9*1.15</f>
        <v>10913.5</v>
      </c>
      <c r="L9" s="19">
        <f t="shared" si="5"/>
        <v>9822.15</v>
      </c>
      <c r="M9" s="19">
        <f t="shared" si="6"/>
        <v>54567.5</v>
      </c>
      <c r="N9" s="22">
        <f t="shared" si="7"/>
        <v>7795.3571428571431</v>
      </c>
      <c r="O9" s="23">
        <f t="shared" si="8"/>
        <v>109135</v>
      </c>
      <c r="P9" s="22">
        <f t="shared" si="9"/>
        <v>7795.3571428571431</v>
      </c>
      <c r="Q9" s="53">
        <f t="shared" si="10"/>
        <v>218270</v>
      </c>
      <c r="R9" s="53">
        <f t="shared" si="11"/>
        <v>6820.9375</v>
      </c>
      <c r="S9" s="61">
        <f t="shared" si="12"/>
        <v>545675</v>
      </c>
      <c r="T9" s="61">
        <f t="shared" si="13"/>
        <v>6419.7058823529414</v>
      </c>
      <c r="U9" s="65">
        <f t="shared" si="14"/>
        <v>1091350</v>
      </c>
      <c r="V9" s="65">
        <f t="shared" si="15"/>
        <v>5456.75</v>
      </c>
    </row>
    <row r="10" spans="1:22" x14ac:dyDescent="0.3">
      <c r="A10" s="15">
        <v>7</v>
      </c>
      <c r="B10" s="24" t="s">
        <v>20</v>
      </c>
      <c r="C10" s="17" t="s">
        <v>14</v>
      </c>
      <c r="D10" s="18">
        <v>8990</v>
      </c>
      <c r="E10" s="19">
        <f t="shared" si="0"/>
        <v>8091</v>
      </c>
      <c r="F10" s="19">
        <f t="shared" si="1"/>
        <v>40455</v>
      </c>
      <c r="G10" s="20">
        <f t="shared" si="2"/>
        <v>6742.5</v>
      </c>
      <c r="H10" s="19">
        <f t="shared" si="3"/>
        <v>80910</v>
      </c>
      <c r="I10" s="20">
        <f t="shared" si="4"/>
        <v>6223.8461538461543</v>
      </c>
      <c r="K10" s="21">
        <f>D10*1.15</f>
        <v>10338.5</v>
      </c>
      <c r="L10" s="19">
        <f t="shared" si="5"/>
        <v>9304.65</v>
      </c>
      <c r="M10" s="19">
        <f t="shared" si="6"/>
        <v>51692.5</v>
      </c>
      <c r="N10" s="22">
        <f t="shared" si="7"/>
        <v>7384.6428571428569</v>
      </c>
      <c r="O10" s="23">
        <f t="shared" si="8"/>
        <v>103385</v>
      </c>
      <c r="P10" s="22">
        <f t="shared" si="9"/>
        <v>7384.6428571428569</v>
      </c>
      <c r="Q10" s="53">
        <f t="shared" si="10"/>
        <v>206770</v>
      </c>
      <c r="R10" s="53">
        <f t="shared" si="11"/>
        <v>6461.5625</v>
      </c>
      <c r="S10" s="61">
        <f t="shared" si="12"/>
        <v>516925</v>
      </c>
      <c r="T10" s="61">
        <f t="shared" si="13"/>
        <v>6081.4705882352937</v>
      </c>
      <c r="U10" s="65">
        <f t="shared" si="14"/>
        <v>1033850</v>
      </c>
      <c r="V10" s="65">
        <f t="shared" si="15"/>
        <v>5169.25</v>
      </c>
    </row>
    <row r="11" spans="1:22" x14ac:dyDescent="0.3">
      <c r="A11" s="15">
        <v>8</v>
      </c>
      <c r="B11" s="16" t="s">
        <v>21</v>
      </c>
      <c r="C11" s="17" t="s">
        <v>14</v>
      </c>
      <c r="D11" s="18">
        <v>9990</v>
      </c>
      <c r="E11" s="19">
        <f t="shared" si="0"/>
        <v>8991</v>
      </c>
      <c r="F11" s="19">
        <f t="shared" si="1"/>
        <v>44955</v>
      </c>
      <c r="G11" s="20">
        <f t="shared" si="2"/>
        <v>7492.5</v>
      </c>
      <c r="H11" s="19">
        <f t="shared" si="3"/>
        <v>89910</v>
      </c>
      <c r="I11" s="20">
        <f t="shared" si="4"/>
        <v>6916.1538461538457</v>
      </c>
      <c r="K11" s="21">
        <f>D11*1.15</f>
        <v>11488.5</v>
      </c>
      <c r="L11" s="19">
        <f t="shared" si="5"/>
        <v>10339.65</v>
      </c>
      <c r="M11" s="19">
        <f t="shared" si="6"/>
        <v>57442.5</v>
      </c>
      <c r="N11" s="22">
        <f t="shared" si="7"/>
        <v>8206.0714285714294</v>
      </c>
      <c r="O11" s="23">
        <f t="shared" si="8"/>
        <v>114885</v>
      </c>
      <c r="P11" s="22">
        <f t="shared" si="9"/>
        <v>8206.0714285714294</v>
      </c>
      <c r="Q11" s="53">
        <f t="shared" si="10"/>
        <v>229770</v>
      </c>
      <c r="R11" s="53">
        <f t="shared" si="11"/>
        <v>7180.3125</v>
      </c>
      <c r="S11" s="61">
        <f t="shared" si="12"/>
        <v>574425</v>
      </c>
      <c r="T11" s="61">
        <f t="shared" si="13"/>
        <v>6757.9411764705883</v>
      </c>
      <c r="U11" s="65">
        <f t="shared" si="14"/>
        <v>1148850</v>
      </c>
      <c r="V11" s="65">
        <f t="shared" si="15"/>
        <v>5744.25</v>
      </c>
    </row>
    <row r="12" spans="1:22" x14ac:dyDescent="0.3">
      <c r="A12" s="15">
        <v>9</v>
      </c>
      <c r="B12" s="24" t="s">
        <v>22</v>
      </c>
      <c r="C12" s="17" t="s">
        <v>14</v>
      </c>
      <c r="D12" s="18">
        <v>9490</v>
      </c>
      <c r="E12" s="19">
        <f t="shared" si="0"/>
        <v>8541</v>
      </c>
      <c r="F12" s="19">
        <f t="shared" si="1"/>
        <v>42705</v>
      </c>
      <c r="G12" s="20">
        <f t="shared" si="2"/>
        <v>7117.5</v>
      </c>
      <c r="H12" s="19">
        <f t="shared" si="3"/>
        <v>85410</v>
      </c>
      <c r="I12" s="20">
        <f t="shared" si="4"/>
        <v>6570</v>
      </c>
      <c r="K12" s="21">
        <f>D12*1.15</f>
        <v>10913.5</v>
      </c>
      <c r="L12" s="19">
        <f t="shared" si="5"/>
        <v>9822.15</v>
      </c>
      <c r="M12" s="19">
        <f t="shared" si="6"/>
        <v>54567.5</v>
      </c>
      <c r="N12" s="22">
        <f t="shared" si="7"/>
        <v>7795.3571428571431</v>
      </c>
      <c r="O12" s="23">
        <f t="shared" si="8"/>
        <v>109135</v>
      </c>
      <c r="P12" s="22">
        <f t="shared" si="9"/>
        <v>7795.3571428571431</v>
      </c>
      <c r="Q12" s="53">
        <f t="shared" si="10"/>
        <v>218270</v>
      </c>
      <c r="R12" s="53">
        <f t="shared" si="11"/>
        <v>6820.9375</v>
      </c>
      <c r="S12" s="61">
        <f t="shared" si="12"/>
        <v>545675</v>
      </c>
      <c r="T12" s="61">
        <f t="shared" si="13"/>
        <v>6419.7058823529414</v>
      </c>
      <c r="U12" s="65">
        <f t="shared" si="14"/>
        <v>1091350</v>
      </c>
      <c r="V12" s="65">
        <f t="shared" si="15"/>
        <v>5456.75</v>
      </c>
    </row>
    <row r="13" spans="1:22" x14ac:dyDescent="0.3">
      <c r="A13" s="15">
        <v>10</v>
      </c>
      <c r="B13" s="24" t="s">
        <v>23</v>
      </c>
      <c r="C13" s="17" t="s">
        <v>14</v>
      </c>
      <c r="D13" s="18">
        <v>9490</v>
      </c>
      <c r="E13" s="19">
        <f t="shared" si="0"/>
        <v>8541</v>
      </c>
      <c r="F13" s="19">
        <f t="shared" si="1"/>
        <v>42705</v>
      </c>
      <c r="G13" s="20">
        <f t="shared" si="2"/>
        <v>7117.5</v>
      </c>
      <c r="H13" s="19">
        <f t="shared" si="3"/>
        <v>85410</v>
      </c>
      <c r="I13" s="20">
        <f t="shared" si="4"/>
        <v>6570</v>
      </c>
      <c r="K13" s="21">
        <f>D13*1.15</f>
        <v>10913.5</v>
      </c>
      <c r="L13" s="19">
        <f t="shared" si="5"/>
        <v>9822.15</v>
      </c>
      <c r="M13" s="19">
        <f t="shared" si="6"/>
        <v>54567.5</v>
      </c>
      <c r="N13" s="22">
        <f t="shared" si="7"/>
        <v>7795.3571428571431</v>
      </c>
      <c r="O13" s="23">
        <f t="shared" si="8"/>
        <v>109135</v>
      </c>
      <c r="P13" s="22">
        <f t="shared" si="9"/>
        <v>7795.3571428571431</v>
      </c>
      <c r="Q13" s="53">
        <f t="shared" si="10"/>
        <v>218270</v>
      </c>
      <c r="R13" s="53">
        <f t="shared" si="11"/>
        <v>6820.9375</v>
      </c>
      <c r="S13" s="61">
        <f t="shared" si="12"/>
        <v>545675</v>
      </c>
      <c r="T13" s="61">
        <f t="shared" si="13"/>
        <v>6419.7058823529414</v>
      </c>
      <c r="U13" s="65">
        <f t="shared" si="14"/>
        <v>1091350</v>
      </c>
      <c r="V13" s="65">
        <f t="shared" si="15"/>
        <v>5456.75</v>
      </c>
    </row>
    <row r="14" spans="1:22" x14ac:dyDescent="0.3">
      <c r="A14" s="15">
        <v>11</v>
      </c>
      <c r="B14" s="16" t="s">
        <v>24</v>
      </c>
      <c r="C14" s="17" t="s">
        <v>14</v>
      </c>
      <c r="D14" s="18">
        <v>9990</v>
      </c>
      <c r="E14" s="19">
        <f t="shared" si="0"/>
        <v>8991</v>
      </c>
      <c r="F14" s="19">
        <f t="shared" si="1"/>
        <v>44955</v>
      </c>
      <c r="G14" s="20">
        <f t="shared" si="2"/>
        <v>7492.5</v>
      </c>
      <c r="H14" s="19">
        <f t="shared" si="3"/>
        <v>89910</v>
      </c>
      <c r="I14" s="20">
        <f t="shared" si="4"/>
        <v>6916.1538461538457</v>
      </c>
      <c r="K14" s="21">
        <f>D14*1.15</f>
        <v>11488.5</v>
      </c>
      <c r="L14" s="19">
        <f t="shared" si="5"/>
        <v>10339.65</v>
      </c>
      <c r="M14" s="19">
        <f t="shared" si="6"/>
        <v>57442.5</v>
      </c>
      <c r="N14" s="22">
        <f t="shared" si="7"/>
        <v>8206.0714285714294</v>
      </c>
      <c r="O14" s="23">
        <f t="shared" si="8"/>
        <v>114885</v>
      </c>
      <c r="P14" s="22">
        <f t="shared" si="9"/>
        <v>8206.0714285714294</v>
      </c>
      <c r="Q14" s="53">
        <f t="shared" si="10"/>
        <v>229770</v>
      </c>
      <c r="R14" s="53">
        <f t="shared" si="11"/>
        <v>7180.3125</v>
      </c>
      <c r="S14" s="61">
        <f t="shared" si="12"/>
        <v>574425</v>
      </c>
      <c r="T14" s="61">
        <f t="shared" si="13"/>
        <v>6757.9411764705883</v>
      </c>
      <c r="U14" s="65">
        <f t="shared" si="14"/>
        <v>1148850</v>
      </c>
      <c r="V14" s="65">
        <f t="shared" si="15"/>
        <v>5744.25</v>
      </c>
    </row>
    <row r="15" spans="1:22" x14ac:dyDescent="0.3">
      <c r="A15" s="15">
        <v>12</v>
      </c>
      <c r="B15" s="24" t="s">
        <v>25</v>
      </c>
      <c r="C15" s="17" t="s">
        <v>14</v>
      </c>
      <c r="D15" s="18">
        <v>9490</v>
      </c>
      <c r="E15" s="19">
        <f t="shared" si="0"/>
        <v>8541</v>
      </c>
      <c r="F15" s="19">
        <f t="shared" si="1"/>
        <v>42705</v>
      </c>
      <c r="G15" s="20">
        <f t="shared" si="2"/>
        <v>7117.5</v>
      </c>
      <c r="H15" s="19">
        <f t="shared" si="3"/>
        <v>85410</v>
      </c>
      <c r="I15" s="20">
        <f t="shared" si="4"/>
        <v>6570</v>
      </c>
      <c r="K15" s="21">
        <f>D15*1.15</f>
        <v>10913.5</v>
      </c>
      <c r="L15" s="19">
        <f t="shared" si="5"/>
        <v>9822.15</v>
      </c>
      <c r="M15" s="19">
        <f t="shared" si="6"/>
        <v>54567.5</v>
      </c>
      <c r="N15" s="22">
        <f t="shared" si="7"/>
        <v>7795.3571428571431</v>
      </c>
      <c r="O15" s="23">
        <f t="shared" si="8"/>
        <v>109135</v>
      </c>
      <c r="P15" s="22">
        <f t="shared" si="9"/>
        <v>7795.3571428571431</v>
      </c>
      <c r="Q15" s="53">
        <f t="shared" si="10"/>
        <v>218270</v>
      </c>
      <c r="R15" s="53">
        <f t="shared" si="11"/>
        <v>6820.9375</v>
      </c>
      <c r="S15" s="61">
        <f t="shared" si="12"/>
        <v>545675</v>
      </c>
      <c r="T15" s="61">
        <f t="shared" si="13"/>
        <v>6419.7058823529414</v>
      </c>
      <c r="U15" s="65">
        <f t="shared" si="14"/>
        <v>1091350</v>
      </c>
      <c r="V15" s="65">
        <f t="shared" si="15"/>
        <v>5456.75</v>
      </c>
    </row>
    <row r="16" spans="1:22" x14ac:dyDescent="0.3">
      <c r="A16" s="15">
        <v>13</v>
      </c>
      <c r="B16" s="24" t="s">
        <v>26</v>
      </c>
      <c r="C16" s="17" t="s">
        <v>14</v>
      </c>
      <c r="D16" s="18">
        <v>9490</v>
      </c>
      <c r="E16" s="19">
        <f t="shared" si="0"/>
        <v>8541</v>
      </c>
      <c r="F16" s="19">
        <f t="shared" si="1"/>
        <v>42705</v>
      </c>
      <c r="G16" s="20">
        <f t="shared" si="2"/>
        <v>7117.5</v>
      </c>
      <c r="H16" s="19">
        <f t="shared" si="3"/>
        <v>85410</v>
      </c>
      <c r="I16" s="20">
        <f t="shared" si="4"/>
        <v>6570</v>
      </c>
      <c r="K16" s="21">
        <f>D16*1.15</f>
        <v>10913.5</v>
      </c>
      <c r="L16" s="19">
        <f t="shared" si="5"/>
        <v>9822.15</v>
      </c>
      <c r="M16" s="19">
        <f t="shared" si="6"/>
        <v>54567.5</v>
      </c>
      <c r="N16" s="22">
        <f t="shared" si="7"/>
        <v>7795.3571428571431</v>
      </c>
      <c r="O16" s="23">
        <f t="shared" si="8"/>
        <v>109135</v>
      </c>
      <c r="P16" s="22">
        <f t="shared" si="9"/>
        <v>7795.3571428571431</v>
      </c>
      <c r="Q16" s="53">
        <f t="shared" si="10"/>
        <v>218270</v>
      </c>
      <c r="R16" s="53">
        <f t="shared" si="11"/>
        <v>6820.9375</v>
      </c>
      <c r="S16" s="61">
        <f t="shared" si="12"/>
        <v>545675</v>
      </c>
      <c r="T16" s="61">
        <f t="shared" si="13"/>
        <v>6419.7058823529414</v>
      </c>
      <c r="U16" s="65">
        <f t="shared" si="14"/>
        <v>1091350</v>
      </c>
      <c r="V16" s="65">
        <f t="shared" si="15"/>
        <v>5456.75</v>
      </c>
    </row>
    <row r="17" spans="1:22" x14ac:dyDescent="0.3">
      <c r="A17" s="15">
        <v>14</v>
      </c>
      <c r="B17" s="24" t="s">
        <v>27</v>
      </c>
      <c r="C17" s="17" t="s">
        <v>14</v>
      </c>
      <c r="D17" s="18">
        <v>9490</v>
      </c>
      <c r="E17" s="19">
        <f t="shared" si="0"/>
        <v>8541</v>
      </c>
      <c r="F17" s="19">
        <f t="shared" si="1"/>
        <v>42705</v>
      </c>
      <c r="G17" s="20">
        <f t="shared" si="2"/>
        <v>7117.5</v>
      </c>
      <c r="H17" s="19">
        <f t="shared" si="3"/>
        <v>85410</v>
      </c>
      <c r="I17" s="20">
        <f t="shared" si="4"/>
        <v>6570</v>
      </c>
      <c r="K17" s="21">
        <f>D17*1.15</f>
        <v>10913.5</v>
      </c>
      <c r="L17" s="19">
        <f t="shared" si="5"/>
        <v>9822.15</v>
      </c>
      <c r="M17" s="19">
        <f t="shared" si="6"/>
        <v>54567.5</v>
      </c>
      <c r="N17" s="22">
        <f t="shared" si="7"/>
        <v>7795.3571428571431</v>
      </c>
      <c r="O17" s="23">
        <f t="shared" si="8"/>
        <v>109135</v>
      </c>
      <c r="P17" s="22">
        <f t="shared" si="9"/>
        <v>7795.3571428571431</v>
      </c>
      <c r="Q17" s="53">
        <f t="shared" si="10"/>
        <v>218270</v>
      </c>
      <c r="R17" s="53">
        <f t="shared" si="11"/>
        <v>6820.9375</v>
      </c>
      <c r="S17" s="61">
        <f t="shared" si="12"/>
        <v>545675</v>
      </c>
      <c r="T17" s="61">
        <f t="shared" si="13"/>
        <v>6419.7058823529414</v>
      </c>
      <c r="U17" s="65">
        <f t="shared" si="14"/>
        <v>1091350</v>
      </c>
      <c r="V17" s="65">
        <f t="shared" si="15"/>
        <v>5456.75</v>
      </c>
    </row>
    <row r="18" spans="1:22" x14ac:dyDescent="0.3">
      <c r="A18" s="15">
        <v>15</v>
      </c>
      <c r="B18" s="16" t="s">
        <v>28</v>
      </c>
      <c r="C18" s="17" t="s">
        <v>14</v>
      </c>
      <c r="D18" s="18">
        <v>9990</v>
      </c>
      <c r="E18" s="19">
        <f t="shared" si="0"/>
        <v>8991</v>
      </c>
      <c r="F18" s="19">
        <f t="shared" si="1"/>
        <v>44955</v>
      </c>
      <c r="G18" s="20">
        <f t="shared" si="2"/>
        <v>7492.5</v>
      </c>
      <c r="H18" s="19">
        <f t="shared" si="3"/>
        <v>89910</v>
      </c>
      <c r="I18" s="20">
        <f t="shared" si="4"/>
        <v>6916.1538461538457</v>
      </c>
      <c r="K18" s="21">
        <f>D18*1.15</f>
        <v>11488.5</v>
      </c>
      <c r="L18" s="19">
        <f t="shared" si="5"/>
        <v>10339.65</v>
      </c>
      <c r="M18" s="19">
        <f t="shared" si="6"/>
        <v>57442.5</v>
      </c>
      <c r="N18" s="22">
        <f t="shared" si="7"/>
        <v>8206.0714285714294</v>
      </c>
      <c r="O18" s="23">
        <f t="shared" si="8"/>
        <v>114885</v>
      </c>
      <c r="P18" s="22">
        <f t="shared" si="9"/>
        <v>8206.0714285714294</v>
      </c>
      <c r="Q18" s="53">
        <f t="shared" si="10"/>
        <v>229770</v>
      </c>
      <c r="R18" s="53">
        <f t="shared" si="11"/>
        <v>7180.3125</v>
      </c>
      <c r="S18" s="61">
        <f t="shared" si="12"/>
        <v>574425</v>
      </c>
      <c r="T18" s="61">
        <f t="shared" si="13"/>
        <v>6757.9411764705883</v>
      </c>
      <c r="U18" s="65">
        <f t="shared" si="14"/>
        <v>1148850</v>
      </c>
      <c r="V18" s="65">
        <f t="shared" si="15"/>
        <v>5744.25</v>
      </c>
    </row>
    <row r="19" spans="1:22" x14ac:dyDescent="0.3">
      <c r="A19" s="15">
        <v>16</v>
      </c>
      <c r="B19" s="24" t="s">
        <v>29</v>
      </c>
      <c r="C19" s="17" t="s">
        <v>14</v>
      </c>
      <c r="D19" s="18">
        <v>8990</v>
      </c>
      <c r="E19" s="19">
        <f t="shared" si="0"/>
        <v>8091</v>
      </c>
      <c r="F19" s="19">
        <f t="shared" si="1"/>
        <v>40455</v>
      </c>
      <c r="G19" s="20">
        <f t="shared" si="2"/>
        <v>6742.5</v>
      </c>
      <c r="H19" s="19">
        <f t="shared" si="3"/>
        <v>80910</v>
      </c>
      <c r="I19" s="20">
        <f t="shared" si="4"/>
        <v>6223.8461538461543</v>
      </c>
      <c r="K19" s="21">
        <f>D19*1.15</f>
        <v>10338.5</v>
      </c>
      <c r="L19" s="19">
        <f t="shared" si="5"/>
        <v>9304.65</v>
      </c>
      <c r="M19" s="19">
        <f t="shared" si="6"/>
        <v>51692.5</v>
      </c>
      <c r="N19" s="22">
        <f t="shared" si="7"/>
        <v>7384.6428571428569</v>
      </c>
      <c r="O19" s="23">
        <f t="shared" si="8"/>
        <v>103385</v>
      </c>
      <c r="P19" s="22">
        <f t="shared" si="9"/>
        <v>7384.6428571428569</v>
      </c>
      <c r="Q19" s="53">
        <f t="shared" si="10"/>
        <v>206770</v>
      </c>
      <c r="R19" s="53">
        <f t="shared" si="11"/>
        <v>6461.5625</v>
      </c>
      <c r="S19" s="61">
        <f t="shared" si="12"/>
        <v>516925</v>
      </c>
      <c r="T19" s="61">
        <f t="shared" si="13"/>
        <v>6081.4705882352937</v>
      </c>
      <c r="U19" s="65">
        <f t="shared" si="14"/>
        <v>1033850</v>
      </c>
      <c r="V19" s="65">
        <f t="shared" si="15"/>
        <v>5169.25</v>
      </c>
    </row>
    <row r="20" spans="1:22" x14ac:dyDescent="0.3">
      <c r="A20" s="15">
        <v>17</v>
      </c>
      <c r="B20" s="24" t="s">
        <v>30</v>
      </c>
      <c r="C20" s="17" t="s">
        <v>14</v>
      </c>
      <c r="D20" s="18">
        <v>8990</v>
      </c>
      <c r="E20" s="19">
        <f t="shared" si="0"/>
        <v>8091</v>
      </c>
      <c r="F20" s="19">
        <f t="shared" si="1"/>
        <v>40455</v>
      </c>
      <c r="G20" s="20">
        <f t="shared" si="2"/>
        <v>6742.5</v>
      </c>
      <c r="H20" s="19">
        <f t="shared" si="3"/>
        <v>80910</v>
      </c>
      <c r="I20" s="20">
        <f t="shared" si="4"/>
        <v>6223.8461538461543</v>
      </c>
      <c r="K20" s="21">
        <f>D20*1.15</f>
        <v>10338.5</v>
      </c>
      <c r="L20" s="19">
        <f t="shared" si="5"/>
        <v>9304.65</v>
      </c>
      <c r="M20" s="19">
        <f t="shared" si="6"/>
        <v>51692.5</v>
      </c>
      <c r="N20" s="22">
        <f t="shared" si="7"/>
        <v>7384.6428571428569</v>
      </c>
      <c r="O20" s="23">
        <f t="shared" si="8"/>
        <v>103385</v>
      </c>
      <c r="P20" s="22">
        <f t="shared" si="9"/>
        <v>7384.6428571428569</v>
      </c>
      <c r="Q20" s="53">
        <f t="shared" si="10"/>
        <v>206770</v>
      </c>
      <c r="R20" s="53">
        <f t="shared" si="11"/>
        <v>6461.5625</v>
      </c>
      <c r="S20" s="61">
        <f t="shared" si="12"/>
        <v>516925</v>
      </c>
      <c r="T20" s="61">
        <f t="shared" si="13"/>
        <v>6081.4705882352937</v>
      </c>
      <c r="U20" s="65">
        <f t="shared" si="14"/>
        <v>1033850</v>
      </c>
      <c r="V20" s="65">
        <f t="shared" si="15"/>
        <v>5169.25</v>
      </c>
    </row>
    <row r="21" spans="1:22" x14ac:dyDescent="0.3">
      <c r="A21" s="15">
        <v>18</v>
      </c>
      <c r="B21" s="16" t="s">
        <v>31</v>
      </c>
      <c r="C21" s="17" t="s">
        <v>14</v>
      </c>
      <c r="D21" s="18">
        <v>9990</v>
      </c>
      <c r="E21" s="19">
        <f t="shared" si="0"/>
        <v>8991</v>
      </c>
      <c r="F21" s="19">
        <f t="shared" si="1"/>
        <v>44955</v>
      </c>
      <c r="G21" s="20">
        <f t="shared" si="2"/>
        <v>7492.5</v>
      </c>
      <c r="H21" s="19">
        <f t="shared" si="3"/>
        <v>89910</v>
      </c>
      <c r="I21" s="20">
        <f t="shared" si="4"/>
        <v>6916.1538461538457</v>
      </c>
      <c r="K21" s="21">
        <f>D21*1.15</f>
        <v>11488.5</v>
      </c>
      <c r="L21" s="19">
        <f t="shared" si="5"/>
        <v>10339.65</v>
      </c>
      <c r="M21" s="19">
        <f t="shared" si="6"/>
        <v>57442.5</v>
      </c>
      <c r="N21" s="22">
        <f t="shared" si="7"/>
        <v>8206.0714285714294</v>
      </c>
      <c r="O21" s="23">
        <f t="shared" si="8"/>
        <v>114885</v>
      </c>
      <c r="P21" s="22">
        <f t="shared" si="9"/>
        <v>8206.0714285714294</v>
      </c>
      <c r="Q21" s="53">
        <f t="shared" si="10"/>
        <v>229770</v>
      </c>
      <c r="R21" s="53">
        <f t="shared" si="11"/>
        <v>7180.3125</v>
      </c>
      <c r="S21" s="61">
        <f t="shared" si="12"/>
        <v>574425</v>
      </c>
      <c r="T21" s="61">
        <f t="shared" si="13"/>
        <v>6757.9411764705883</v>
      </c>
      <c r="U21" s="65">
        <f t="shared" si="14"/>
        <v>1148850</v>
      </c>
      <c r="V21" s="65">
        <f t="shared" si="15"/>
        <v>5744.25</v>
      </c>
    </row>
    <row r="22" spans="1:22" x14ac:dyDescent="0.3">
      <c r="A22" s="15">
        <v>19</v>
      </c>
      <c r="B22" s="16" t="s">
        <v>32</v>
      </c>
      <c r="C22" s="17" t="s">
        <v>14</v>
      </c>
      <c r="D22" s="18">
        <v>9990</v>
      </c>
      <c r="E22" s="19">
        <f t="shared" si="0"/>
        <v>8991</v>
      </c>
      <c r="F22" s="19">
        <f t="shared" si="1"/>
        <v>44955</v>
      </c>
      <c r="G22" s="20">
        <f t="shared" si="2"/>
        <v>7492.5</v>
      </c>
      <c r="H22" s="19">
        <f t="shared" si="3"/>
        <v>89910</v>
      </c>
      <c r="I22" s="20">
        <f t="shared" si="4"/>
        <v>6916.1538461538457</v>
      </c>
      <c r="K22" s="21">
        <f>D22*1.15</f>
        <v>11488.5</v>
      </c>
      <c r="L22" s="19">
        <f t="shared" si="5"/>
        <v>10339.65</v>
      </c>
      <c r="M22" s="19">
        <f t="shared" si="6"/>
        <v>57442.5</v>
      </c>
      <c r="N22" s="22">
        <f t="shared" si="7"/>
        <v>8206.0714285714294</v>
      </c>
      <c r="O22" s="23">
        <f t="shared" si="8"/>
        <v>114885</v>
      </c>
      <c r="P22" s="22">
        <f t="shared" si="9"/>
        <v>8206.0714285714294</v>
      </c>
      <c r="Q22" s="53">
        <f t="shared" si="10"/>
        <v>229770</v>
      </c>
      <c r="R22" s="53">
        <f t="shared" si="11"/>
        <v>7180.3125</v>
      </c>
      <c r="S22" s="61">
        <f t="shared" si="12"/>
        <v>574425</v>
      </c>
      <c r="T22" s="61">
        <f t="shared" si="13"/>
        <v>6757.9411764705883</v>
      </c>
      <c r="U22" s="65">
        <f t="shared" si="14"/>
        <v>1148850</v>
      </c>
      <c r="V22" s="65">
        <f t="shared" si="15"/>
        <v>5744.25</v>
      </c>
    </row>
    <row r="23" spans="1:22" x14ac:dyDescent="0.3">
      <c r="A23" s="15">
        <v>20</v>
      </c>
      <c r="B23" s="16" t="s">
        <v>33</v>
      </c>
      <c r="C23" s="17" t="s">
        <v>14</v>
      </c>
      <c r="D23" s="18">
        <v>9990</v>
      </c>
      <c r="E23" s="19">
        <f t="shared" si="0"/>
        <v>8991</v>
      </c>
      <c r="F23" s="19">
        <f t="shared" si="1"/>
        <v>44955</v>
      </c>
      <c r="G23" s="20">
        <f t="shared" si="2"/>
        <v>7492.5</v>
      </c>
      <c r="H23" s="19">
        <f t="shared" si="3"/>
        <v>89910</v>
      </c>
      <c r="I23" s="20">
        <f t="shared" si="4"/>
        <v>6916.1538461538457</v>
      </c>
      <c r="K23" s="21">
        <f>D23*1.15</f>
        <v>11488.5</v>
      </c>
      <c r="L23" s="19">
        <f t="shared" si="5"/>
        <v>10339.65</v>
      </c>
      <c r="M23" s="19">
        <f t="shared" si="6"/>
        <v>57442.5</v>
      </c>
      <c r="N23" s="22">
        <f t="shared" si="7"/>
        <v>8206.0714285714294</v>
      </c>
      <c r="O23" s="23">
        <f t="shared" si="8"/>
        <v>114885</v>
      </c>
      <c r="P23" s="22">
        <f t="shared" si="9"/>
        <v>8206.0714285714294</v>
      </c>
      <c r="Q23" s="53">
        <f t="shared" si="10"/>
        <v>229770</v>
      </c>
      <c r="R23" s="53">
        <f t="shared" si="11"/>
        <v>7180.3125</v>
      </c>
      <c r="S23" s="61">
        <f t="shared" si="12"/>
        <v>574425</v>
      </c>
      <c r="T23" s="61">
        <f t="shared" si="13"/>
        <v>6757.9411764705883</v>
      </c>
      <c r="U23" s="65">
        <f t="shared" si="14"/>
        <v>1148850</v>
      </c>
      <c r="V23" s="65">
        <f t="shared" si="15"/>
        <v>5744.25</v>
      </c>
    </row>
    <row r="24" spans="1:22" x14ac:dyDescent="0.3">
      <c r="A24" s="15">
        <v>21</v>
      </c>
      <c r="B24" s="24" t="s">
        <v>34</v>
      </c>
      <c r="C24" s="17" t="s">
        <v>14</v>
      </c>
      <c r="D24" s="18">
        <v>13990</v>
      </c>
      <c r="E24" s="19">
        <f t="shared" si="0"/>
        <v>12591</v>
      </c>
      <c r="F24" s="19">
        <f t="shared" si="1"/>
        <v>62955</v>
      </c>
      <c r="G24" s="20">
        <f t="shared" si="2"/>
        <v>10492.5</v>
      </c>
      <c r="H24" s="19">
        <f t="shared" si="3"/>
        <v>125910</v>
      </c>
      <c r="I24" s="20">
        <f t="shared" si="4"/>
        <v>9685.3846153846152</v>
      </c>
      <c r="K24" s="21">
        <f>D24*1.15</f>
        <v>16088.499999999998</v>
      </c>
      <c r="L24" s="19">
        <f t="shared" si="5"/>
        <v>14479.649999999998</v>
      </c>
      <c r="M24" s="19">
        <f t="shared" si="6"/>
        <v>80442.499999999985</v>
      </c>
      <c r="N24" s="22">
        <f t="shared" si="7"/>
        <v>11491.785714285712</v>
      </c>
      <c r="O24" s="23">
        <f t="shared" si="8"/>
        <v>160884.99999999997</v>
      </c>
      <c r="P24" s="22">
        <f t="shared" si="9"/>
        <v>11491.785714285712</v>
      </c>
      <c r="Q24" s="53">
        <f t="shared" si="10"/>
        <v>321769.99999999994</v>
      </c>
      <c r="R24" s="53">
        <f t="shared" si="11"/>
        <v>10055.312499999998</v>
      </c>
      <c r="S24" s="61">
        <f t="shared" si="12"/>
        <v>804424.99999999988</v>
      </c>
      <c r="T24" s="61">
        <f t="shared" si="13"/>
        <v>9463.823529411764</v>
      </c>
      <c r="U24" s="65">
        <f t="shared" si="14"/>
        <v>1608849.9999999998</v>
      </c>
      <c r="V24" s="65">
        <f t="shared" si="15"/>
        <v>8044.2499999999991</v>
      </c>
    </row>
    <row r="25" spans="1:22" x14ac:dyDescent="0.3">
      <c r="A25" s="15">
        <v>22</v>
      </c>
      <c r="B25" s="16" t="s">
        <v>35</v>
      </c>
      <c r="C25" s="17" t="s">
        <v>14</v>
      </c>
      <c r="D25" s="18">
        <v>13990</v>
      </c>
      <c r="E25" s="19">
        <f t="shared" si="0"/>
        <v>12591</v>
      </c>
      <c r="F25" s="19">
        <f t="shared" si="1"/>
        <v>62955</v>
      </c>
      <c r="G25" s="20">
        <f t="shared" si="2"/>
        <v>10492.5</v>
      </c>
      <c r="H25" s="19">
        <f t="shared" si="3"/>
        <v>125910</v>
      </c>
      <c r="I25" s="20">
        <f t="shared" si="4"/>
        <v>9685.3846153846152</v>
      </c>
      <c r="K25" s="21">
        <f>D25*1.15</f>
        <v>16088.499999999998</v>
      </c>
      <c r="L25" s="19">
        <f t="shared" si="5"/>
        <v>14479.649999999998</v>
      </c>
      <c r="M25" s="19">
        <f t="shared" si="6"/>
        <v>80442.499999999985</v>
      </c>
      <c r="N25" s="22">
        <f t="shared" si="7"/>
        <v>11491.785714285712</v>
      </c>
      <c r="O25" s="23">
        <f t="shared" si="8"/>
        <v>160884.99999999997</v>
      </c>
      <c r="P25" s="22">
        <f t="shared" si="9"/>
        <v>11491.785714285712</v>
      </c>
      <c r="Q25" s="53">
        <f t="shared" si="10"/>
        <v>321769.99999999994</v>
      </c>
      <c r="R25" s="53">
        <f t="shared" si="11"/>
        <v>10055.312499999998</v>
      </c>
      <c r="S25" s="61">
        <f t="shared" si="12"/>
        <v>804424.99999999988</v>
      </c>
      <c r="T25" s="61">
        <f t="shared" si="13"/>
        <v>9463.823529411764</v>
      </c>
      <c r="U25" s="65">
        <f t="shared" si="14"/>
        <v>1608849.9999999998</v>
      </c>
      <c r="V25" s="65">
        <f t="shared" si="15"/>
        <v>8044.2499999999991</v>
      </c>
    </row>
    <row r="26" spans="1:22" x14ac:dyDescent="0.3">
      <c r="D26" s="11"/>
      <c r="E26" s="11"/>
      <c r="F26" s="11"/>
      <c r="G26" s="19"/>
      <c r="H26" s="19"/>
      <c r="I26" s="19"/>
      <c r="N26" s="25"/>
      <c r="O26" s="25"/>
    </row>
    <row r="27" spans="1:22" x14ac:dyDescent="0.3">
      <c r="A27" s="26" t="s">
        <v>36</v>
      </c>
      <c r="B27" s="27"/>
      <c r="C27" s="27"/>
      <c r="D27" s="11"/>
      <c r="E27" s="11"/>
      <c r="F27" s="11"/>
      <c r="G27" s="19"/>
      <c r="H27" s="19"/>
      <c r="I27" s="19"/>
      <c r="N27" s="25"/>
      <c r="O27" s="25"/>
    </row>
    <row r="28" spans="1:22" x14ac:dyDescent="0.3">
      <c r="A28" s="15">
        <v>1</v>
      </c>
      <c r="B28" s="24" t="s">
        <v>13</v>
      </c>
      <c r="C28" s="28" t="s">
        <v>37</v>
      </c>
      <c r="D28" s="18">
        <v>4990</v>
      </c>
      <c r="E28" s="19">
        <f t="shared" ref="E28:E38" si="16">D28-(D28*0.1)</f>
        <v>4491</v>
      </c>
      <c r="F28" s="19">
        <f t="shared" ref="F28:F38" si="17">E28*5</f>
        <v>22455</v>
      </c>
      <c r="G28" s="20">
        <f t="shared" si="2"/>
        <v>3742.5</v>
      </c>
      <c r="H28" s="19">
        <f t="shared" si="3"/>
        <v>44910</v>
      </c>
      <c r="I28" s="20">
        <f t="shared" si="4"/>
        <v>3454.6153846153848</v>
      </c>
      <c r="K28" s="21">
        <f>D28*1.15</f>
        <v>5738.5</v>
      </c>
      <c r="L28" s="19">
        <f t="shared" ref="L28:L38" si="18">K28-(K28*0.1)</f>
        <v>5164.6499999999996</v>
      </c>
      <c r="M28" s="19">
        <f>L28*5</f>
        <v>25823.25</v>
      </c>
      <c r="N28" s="22">
        <f t="shared" ref="N28:N38" si="19">M28/7</f>
        <v>3689.0357142857142</v>
      </c>
      <c r="O28" s="19">
        <f>L28*10</f>
        <v>51646.5</v>
      </c>
      <c r="P28" s="22">
        <f t="shared" ref="P28:P38" si="20">O28/15</f>
        <v>3443.1</v>
      </c>
      <c r="Q28" s="53">
        <f t="shared" ref="Q28" si="21">K28*20</f>
        <v>114770</v>
      </c>
      <c r="R28" s="53">
        <f t="shared" ref="R28:R38" si="22">Q28/32</f>
        <v>3586.5625</v>
      </c>
      <c r="S28" s="61">
        <f t="shared" ref="S28" si="23">K28*50</f>
        <v>286925</v>
      </c>
      <c r="T28" s="61">
        <f t="shared" ref="T28:T38" si="24">S28/85</f>
        <v>3375.5882352941176</v>
      </c>
      <c r="U28" s="65">
        <f t="shared" ref="U28" si="25">K28*100</f>
        <v>573850</v>
      </c>
      <c r="V28" s="65">
        <f t="shared" ref="V28:V38" si="26">U28/200</f>
        <v>2869.25</v>
      </c>
    </row>
    <row r="29" spans="1:22" x14ac:dyDescent="0.3">
      <c r="A29" s="15">
        <v>2</v>
      </c>
      <c r="B29" s="24" t="s">
        <v>15</v>
      </c>
      <c r="C29" s="28" t="s">
        <v>37</v>
      </c>
      <c r="D29" s="18">
        <v>4990</v>
      </c>
      <c r="E29" s="19">
        <f t="shared" si="16"/>
        <v>4491</v>
      </c>
      <c r="F29" s="19">
        <f t="shared" si="17"/>
        <v>22455</v>
      </c>
      <c r="G29" s="20">
        <f t="shared" si="2"/>
        <v>3742.5</v>
      </c>
      <c r="H29" s="19">
        <f t="shared" si="3"/>
        <v>44910</v>
      </c>
      <c r="I29" s="20">
        <f t="shared" si="4"/>
        <v>3454.6153846153848</v>
      </c>
      <c r="K29" s="21">
        <f>D29*1.15</f>
        <v>5738.5</v>
      </c>
      <c r="L29" s="19">
        <f t="shared" si="18"/>
        <v>5164.6499999999996</v>
      </c>
      <c r="M29" s="19">
        <f>L29*5</f>
        <v>25823.25</v>
      </c>
      <c r="N29" s="22">
        <f t="shared" si="19"/>
        <v>3689.0357142857142</v>
      </c>
      <c r="O29" s="23">
        <f>L29*10</f>
        <v>51646.5</v>
      </c>
      <c r="P29" s="22">
        <f t="shared" si="20"/>
        <v>3443.1</v>
      </c>
      <c r="Q29" s="53">
        <f t="shared" ref="Q29:Q38" si="27">K29*20</f>
        <v>114770</v>
      </c>
      <c r="R29" s="53">
        <f t="shared" si="22"/>
        <v>3586.5625</v>
      </c>
      <c r="S29" s="61">
        <f t="shared" ref="S29:S38" si="28">K29*50</f>
        <v>286925</v>
      </c>
      <c r="T29" s="61">
        <f t="shared" si="24"/>
        <v>3375.5882352941176</v>
      </c>
      <c r="U29" s="65">
        <f t="shared" ref="U29:U38" si="29">K29*100</f>
        <v>573850</v>
      </c>
      <c r="V29" s="65">
        <f t="shared" si="26"/>
        <v>2869.25</v>
      </c>
    </row>
    <row r="30" spans="1:22" x14ac:dyDescent="0.3">
      <c r="A30" s="15">
        <v>3</v>
      </c>
      <c r="B30" s="24" t="s">
        <v>16</v>
      </c>
      <c r="C30" s="28" t="s">
        <v>37</v>
      </c>
      <c r="D30" s="18">
        <v>4990</v>
      </c>
      <c r="E30" s="19">
        <f t="shared" si="16"/>
        <v>4491</v>
      </c>
      <c r="F30" s="19">
        <f t="shared" si="17"/>
        <v>22455</v>
      </c>
      <c r="G30" s="20">
        <f t="shared" si="2"/>
        <v>3742.5</v>
      </c>
      <c r="H30" s="19">
        <f t="shared" si="3"/>
        <v>44910</v>
      </c>
      <c r="I30" s="20">
        <f t="shared" si="4"/>
        <v>3454.6153846153848</v>
      </c>
      <c r="K30" s="21">
        <f>D30*1.15</f>
        <v>5738.5</v>
      </c>
      <c r="L30" s="19">
        <f t="shared" si="18"/>
        <v>5164.6499999999996</v>
      </c>
      <c r="M30" s="19">
        <f>L30*5</f>
        <v>25823.25</v>
      </c>
      <c r="N30" s="22">
        <f t="shared" si="19"/>
        <v>3689.0357142857142</v>
      </c>
      <c r="O30" s="23">
        <f>L30*10</f>
        <v>51646.5</v>
      </c>
      <c r="P30" s="22">
        <f t="shared" si="20"/>
        <v>3443.1</v>
      </c>
      <c r="Q30" s="53">
        <f t="shared" si="27"/>
        <v>114770</v>
      </c>
      <c r="R30" s="53">
        <f t="shared" si="22"/>
        <v>3586.5625</v>
      </c>
      <c r="S30" s="61">
        <f t="shared" si="28"/>
        <v>286925</v>
      </c>
      <c r="T30" s="61">
        <f t="shared" si="24"/>
        <v>3375.5882352941176</v>
      </c>
      <c r="U30" s="65">
        <f t="shared" si="29"/>
        <v>573850</v>
      </c>
      <c r="V30" s="65">
        <f t="shared" si="26"/>
        <v>2869.25</v>
      </c>
    </row>
    <row r="31" spans="1:22" x14ac:dyDescent="0.3">
      <c r="A31" s="15">
        <v>4</v>
      </c>
      <c r="B31" s="24" t="s">
        <v>18</v>
      </c>
      <c r="C31" s="28" t="s">
        <v>37</v>
      </c>
      <c r="D31" s="18">
        <v>4990</v>
      </c>
      <c r="E31" s="19">
        <f t="shared" si="16"/>
        <v>4491</v>
      </c>
      <c r="F31" s="19">
        <f t="shared" si="17"/>
        <v>22455</v>
      </c>
      <c r="G31" s="20">
        <f t="shared" si="2"/>
        <v>3742.5</v>
      </c>
      <c r="H31" s="19">
        <f t="shared" si="3"/>
        <v>44910</v>
      </c>
      <c r="I31" s="20">
        <f t="shared" si="4"/>
        <v>3454.6153846153848</v>
      </c>
      <c r="K31" s="21">
        <f>D31*1.15</f>
        <v>5738.5</v>
      </c>
      <c r="L31" s="19">
        <f t="shared" si="18"/>
        <v>5164.6499999999996</v>
      </c>
      <c r="M31" s="19">
        <f>L31*5</f>
        <v>25823.25</v>
      </c>
      <c r="N31" s="22">
        <f t="shared" si="19"/>
        <v>3689.0357142857142</v>
      </c>
      <c r="O31" s="23">
        <f>L31*10</f>
        <v>51646.5</v>
      </c>
      <c r="P31" s="22">
        <f t="shared" si="20"/>
        <v>3443.1</v>
      </c>
      <c r="Q31" s="53">
        <f t="shared" si="27"/>
        <v>114770</v>
      </c>
      <c r="R31" s="53">
        <f t="shared" si="22"/>
        <v>3586.5625</v>
      </c>
      <c r="S31" s="61">
        <f t="shared" si="28"/>
        <v>286925</v>
      </c>
      <c r="T31" s="61">
        <f t="shared" si="24"/>
        <v>3375.5882352941176</v>
      </c>
      <c r="U31" s="65">
        <f t="shared" si="29"/>
        <v>573850</v>
      </c>
      <c r="V31" s="65">
        <f t="shared" si="26"/>
        <v>2869.25</v>
      </c>
    </row>
    <row r="32" spans="1:22" x14ac:dyDescent="0.3">
      <c r="A32" s="15">
        <v>5</v>
      </c>
      <c r="B32" s="24" t="s">
        <v>24</v>
      </c>
      <c r="C32" s="28" t="s">
        <v>37</v>
      </c>
      <c r="D32" s="18">
        <v>4550</v>
      </c>
      <c r="E32" s="19">
        <f t="shared" si="16"/>
        <v>4095</v>
      </c>
      <c r="F32" s="19">
        <f t="shared" si="17"/>
        <v>20475</v>
      </c>
      <c r="G32" s="20">
        <f t="shared" si="2"/>
        <v>3412.5</v>
      </c>
      <c r="H32" s="19">
        <f t="shared" si="3"/>
        <v>40950</v>
      </c>
      <c r="I32" s="20">
        <f t="shared" si="4"/>
        <v>3150</v>
      </c>
      <c r="K32" s="21">
        <f>D32*1.15</f>
        <v>5232.5</v>
      </c>
      <c r="L32" s="19">
        <f t="shared" si="18"/>
        <v>4709.25</v>
      </c>
      <c r="M32" s="19">
        <f>L32*5</f>
        <v>23546.25</v>
      </c>
      <c r="N32" s="22">
        <f t="shared" si="19"/>
        <v>3363.75</v>
      </c>
      <c r="O32" s="23">
        <f>L32*10</f>
        <v>47092.5</v>
      </c>
      <c r="P32" s="22">
        <f t="shared" si="20"/>
        <v>3139.5</v>
      </c>
      <c r="Q32" s="53">
        <f t="shared" si="27"/>
        <v>104650</v>
      </c>
      <c r="R32" s="53">
        <f t="shared" si="22"/>
        <v>3270.3125</v>
      </c>
      <c r="S32" s="61">
        <f t="shared" si="28"/>
        <v>261625</v>
      </c>
      <c r="T32" s="61">
        <f t="shared" si="24"/>
        <v>3077.9411764705883</v>
      </c>
      <c r="U32" s="65">
        <f t="shared" si="29"/>
        <v>523250</v>
      </c>
      <c r="V32" s="65">
        <f t="shared" si="26"/>
        <v>2616.25</v>
      </c>
    </row>
    <row r="33" spans="1:22" x14ac:dyDescent="0.3">
      <c r="A33" s="15">
        <v>6</v>
      </c>
      <c r="B33" s="24" t="s">
        <v>25</v>
      </c>
      <c r="C33" s="28" t="s">
        <v>37</v>
      </c>
      <c r="D33" s="18">
        <v>4550</v>
      </c>
      <c r="E33" s="19">
        <f t="shared" si="16"/>
        <v>4095</v>
      </c>
      <c r="F33" s="19">
        <f t="shared" si="17"/>
        <v>20475</v>
      </c>
      <c r="G33" s="20">
        <f t="shared" si="2"/>
        <v>3412.5</v>
      </c>
      <c r="H33" s="19">
        <f t="shared" si="3"/>
        <v>40950</v>
      </c>
      <c r="I33" s="20">
        <f t="shared" si="4"/>
        <v>3150</v>
      </c>
      <c r="K33" s="21">
        <f>D33*1.15</f>
        <v>5232.5</v>
      </c>
      <c r="L33" s="19">
        <f t="shared" si="18"/>
        <v>4709.25</v>
      </c>
      <c r="M33" s="19">
        <f>L33*5</f>
        <v>23546.25</v>
      </c>
      <c r="N33" s="22">
        <f t="shared" si="19"/>
        <v>3363.75</v>
      </c>
      <c r="O33" s="23">
        <f>L33*10</f>
        <v>47092.5</v>
      </c>
      <c r="P33" s="22">
        <f t="shared" si="20"/>
        <v>3139.5</v>
      </c>
      <c r="Q33" s="53">
        <f t="shared" si="27"/>
        <v>104650</v>
      </c>
      <c r="R33" s="53">
        <f t="shared" si="22"/>
        <v>3270.3125</v>
      </c>
      <c r="S33" s="61">
        <f t="shared" si="28"/>
        <v>261625</v>
      </c>
      <c r="T33" s="61">
        <f t="shared" si="24"/>
        <v>3077.9411764705883</v>
      </c>
      <c r="U33" s="65">
        <f t="shared" si="29"/>
        <v>523250</v>
      </c>
      <c r="V33" s="65">
        <f t="shared" si="26"/>
        <v>2616.25</v>
      </c>
    </row>
    <row r="34" spans="1:22" x14ac:dyDescent="0.3">
      <c r="A34" s="15">
        <v>7</v>
      </c>
      <c r="B34" s="24" t="s">
        <v>27</v>
      </c>
      <c r="C34" s="28" t="s">
        <v>37</v>
      </c>
      <c r="D34" s="18">
        <v>4550</v>
      </c>
      <c r="E34" s="19">
        <f t="shared" si="16"/>
        <v>4095</v>
      </c>
      <c r="F34" s="19">
        <f t="shared" si="17"/>
        <v>20475</v>
      </c>
      <c r="G34" s="20">
        <f t="shared" si="2"/>
        <v>3412.5</v>
      </c>
      <c r="H34" s="19">
        <f t="shared" si="3"/>
        <v>40950</v>
      </c>
      <c r="I34" s="20">
        <f t="shared" si="4"/>
        <v>3150</v>
      </c>
      <c r="K34" s="21">
        <f>D34*1.15</f>
        <v>5232.5</v>
      </c>
      <c r="L34" s="19">
        <f t="shared" si="18"/>
        <v>4709.25</v>
      </c>
      <c r="M34" s="19">
        <f>L34*5</f>
        <v>23546.25</v>
      </c>
      <c r="N34" s="22">
        <f t="shared" si="19"/>
        <v>3363.75</v>
      </c>
      <c r="O34" s="23">
        <f>L34*10</f>
        <v>47092.5</v>
      </c>
      <c r="P34" s="22">
        <f t="shared" si="20"/>
        <v>3139.5</v>
      </c>
      <c r="Q34" s="53">
        <f t="shared" si="27"/>
        <v>104650</v>
      </c>
      <c r="R34" s="53">
        <f t="shared" si="22"/>
        <v>3270.3125</v>
      </c>
      <c r="S34" s="61">
        <f t="shared" si="28"/>
        <v>261625</v>
      </c>
      <c r="T34" s="61">
        <f t="shared" si="24"/>
        <v>3077.9411764705883</v>
      </c>
      <c r="U34" s="65">
        <f t="shared" si="29"/>
        <v>523250</v>
      </c>
      <c r="V34" s="65">
        <f t="shared" si="26"/>
        <v>2616.25</v>
      </c>
    </row>
    <row r="35" spans="1:22" x14ac:dyDescent="0.3">
      <c r="A35" s="15">
        <v>8</v>
      </c>
      <c r="B35" s="24" t="s">
        <v>28</v>
      </c>
      <c r="C35" s="28" t="s">
        <v>37</v>
      </c>
      <c r="D35" s="18">
        <v>4990</v>
      </c>
      <c r="E35" s="19">
        <f t="shared" si="16"/>
        <v>4491</v>
      </c>
      <c r="F35" s="19">
        <f t="shared" si="17"/>
        <v>22455</v>
      </c>
      <c r="G35" s="20">
        <f t="shared" si="2"/>
        <v>3742.5</v>
      </c>
      <c r="H35" s="19">
        <f t="shared" si="3"/>
        <v>44910</v>
      </c>
      <c r="I35" s="20">
        <f t="shared" si="4"/>
        <v>3454.6153846153848</v>
      </c>
      <c r="K35" s="21">
        <f>D35*1.15</f>
        <v>5738.5</v>
      </c>
      <c r="L35" s="19">
        <f t="shared" si="18"/>
        <v>5164.6499999999996</v>
      </c>
      <c r="M35" s="19">
        <f>L35*5</f>
        <v>25823.25</v>
      </c>
      <c r="N35" s="22">
        <f t="shared" si="19"/>
        <v>3689.0357142857142</v>
      </c>
      <c r="O35" s="23">
        <f>L35*10</f>
        <v>51646.5</v>
      </c>
      <c r="P35" s="22">
        <f t="shared" si="20"/>
        <v>3443.1</v>
      </c>
      <c r="Q35" s="53">
        <f t="shared" si="27"/>
        <v>114770</v>
      </c>
      <c r="R35" s="53">
        <f t="shared" si="22"/>
        <v>3586.5625</v>
      </c>
      <c r="S35" s="61">
        <f t="shared" si="28"/>
        <v>286925</v>
      </c>
      <c r="T35" s="61">
        <f t="shared" si="24"/>
        <v>3375.5882352941176</v>
      </c>
      <c r="U35" s="65">
        <f t="shared" si="29"/>
        <v>573850</v>
      </c>
      <c r="V35" s="65">
        <f t="shared" si="26"/>
        <v>2869.25</v>
      </c>
    </row>
    <row r="36" spans="1:22" x14ac:dyDescent="0.3">
      <c r="A36" s="15">
        <v>9</v>
      </c>
      <c r="B36" s="24" t="s">
        <v>38</v>
      </c>
      <c r="C36" s="28" t="s">
        <v>37</v>
      </c>
      <c r="D36" s="18">
        <v>4550</v>
      </c>
      <c r="E36" s="19">
        <f t="shared" si="16"/>
        <v>4095</v>
      </c>
      <c r="F36" s="19">
        <f t="shared" si="17"/>
        <v>20475</v>
      </c>
      <c r="G36" s="20">
        <f t="shared" si="2"/>
        <v>3412.5</v>
      </c>
      <c r="H36" s="19">
        <f t="shared" si="3"/>
        <v>40950</v>
      </c>
      <c r="I36" s="20">
        <f t="shared" si="4"/>
        <v>3150</v>
      </c>
      <c r="K36" s="21">
        <f>D36*1.15</f>
        <v>5232.5</v>
      </c>
      <c r="L36" s="19">
        <f t="shared" si="18"/>
        <v>4709.25</v>
      </c>
      <c r="M36" s="19">
        <f>L36*5</f>
        <v>23546.25</v>
      </c>
      <c r="N36" s="22">
        <f t="shared" si="19"/>
        <v>3363.75</v>
      </c>
      <c r="O36" s="23">
        <f>L36*10</f>
        <v>47092.5</v>
      </c>
      <c r="P36" s="22">
        <f t="shared" si="20"/>
        <v>3139.5</v>
      </c>
      <c r="Q36" s="53">
        <f t="shared" si="27"/>
        <v>104650</v>
      </c>
      <c r="R36" s="53">
        <f t="shared" si="22"/>
        <v>3270.3125</v>
      </c>
      <c r="S36" s="61">
        <f t="shared" si="28"/>
        <v>261625</v>
      </c>
      <c r="T36" s="61">
        <f t="shared" si="24"/>
        <v>3077.9411764705883</v>
      </c>
      <c r="U36" s="65">
        <f t="shared" si="29"/>
        <v>523250</v>
      </c>
      <c r="V36" s="65">
        <f t="shared" si="26"/>
        <v>2616.25</v>
      </c>
    </row>
    <row r="37" spans="1:22" x14ac:dyDescent="0.3">
      <c r="A37" s="15">
        <v>10</v>
      </c>
      <c r="B37" s="24" t="s">
        <v>30</v>
      </c>
      <c r="C37" s="28" t="s">
        <v>37</v>
      </c>
      <c r="D37" s="18">
        <v>4550</v>
      </c>
      <c r="E37" s="19">
        <f t="shared" si="16"/>
        <v>4095</v>
      </c>
      <c r="F37" s="19">
        <f t="shared" si="17"/>
        <v>20475</v>
      </c>
      <c r="G37" s="20">
        <f t="shared" si="2"/>
        <v>3412.5</v>
      </c>
      <c r="H37" s="19">
        <f t="shared" si="3"/>
        <v>40950</v>
      </c>
      <c r="I37" s="20">
        <f t="shared" si="4"/>
        <v>3150</v>
      </c>
      <c r="K37" s="21">
        <f>D37*1.15</f>
        <v>5232.5</v>
      </c>
      <c r="L37" s="19">
        <f t="shared" si="18"/>
        <v>4709.25</v>
      </c>
      <c r="M37" s="19">
        <f>L37*5</f>
        <v>23546.25</v>
      </c>
      <c r="N37" s="22">
        <f t="shared" si="19"/>
        <v>3363.75</v>
      </c>
      <c r="O37" s="23">
        <f>L37*10</f>
        <v>47092.5</v>
      </c>
      <c r="P37" s="22">
        <f t="shared" si="20"/>
        <v>3139.5</v>
      </c>
      <c r="Q37" s="53">
        <f t="shared" si="27"/>
        <v>104650</v>
      </c>
      <c r="R37" s="53">
        <f t="shared" si="22"/>
        <v>3270.3125</v>
      </c>
      <c r="S37" s="61">
        <f t="shared" si="28"/>
        <v>261625</v>
      </c>
      <c r="T37" s="61">
        <f t="shared" si="24"/>
        <v>3077.9411764705883</v>
      </c>
      <c r="U37" s="65">
        <f t="shared" si="29"/>
        <v>523250</v>
      </c>
      <c r="V37" s="65">
        <f t="shared" si="26"/>
        <v>2616.25</v>
      </c>
    </row>
    <row r="38" spans="1:22" ht="15" thickBot="1" x14ac:dyDescent="0.35">
      <c r="A38" s="15">
        <v>11</v>
      </c>
      <c r="B38" s="24" t="s">
        <v>31</v>
      </c>
      <c r="C38" s="28" t="s">
        <v>37</v>
      </c>
      <c r="D38" s="18">
        <v>4990</v>
      </c>
      <c r="E38" s="19">
        <f t="shared" si="16"/>
        <v>4491</v>
      </c>
      <c r="F38" s="19">
        <f t="shared" si="17"/>
        <v>22455</v>
      </c>
      <c r="G38" s="20">
        <f t="shared" si="2"/>
        <v>3742.5</v>
      </c>
      <c r="H38" s="19">
        <f t="shared" si="3"/>
        <v>44910</v>
      </c>
      <c r="I38" s="20">
        <f t="shared" si="4"/>
        <v>3454.6153846153848</v>
      </c>
      <c r="K38" s="21">
        <f>D38*1.15</f>
        <v>5738.5</v>
      </c>
      <c r="L38" s="19">
        <f t="shared" si="18"/>
        <v>5164.6499999999996</v>
      </c>
      <c r="M38" s="29">
        <f>L38*5</f>
        <v>25823.25</v>
      </c>
      <c r="N38" s="22">
        <f t="shared" si="19"/>
        <v>3689.0357142857142</v>
      </c>
      <c r="O38" s="23">
        <f>L38*10</f>
        <v>51646.5</v>
      </c>
      <c r="P38" s="22">
        <f t="shared" si="20"/>
        <v>3443.1</v>
      </c>
      <c r="Q38" s="53">
        <f t="shared" si="27"/>
        <v>114770</v>
      </c>
      <c r="R38" s="53">
        <f t="shared" si="22"/>
        <v>3586.5625</v>
      </c>
      <c r="S38" s="61">
        <f t="shared" si="28"/>
        <v>286925</v>
      </c>
      <c r="T38" s="61">
        <f t="shared" si="24"/>
        <v>3375.5882352941176</v>
      </c>
      <c r="U38" s="65">
        <f t="shared" si="29"/>
        <v>573850</v>
      </c>
      <c r="V38" s="65">
        <f t="shared" si="26"/>
        <v>2869.25</v>
      </c>
    </row>
    <row r="39" spans="1:22" x14ac:dyDescent="0.3">
      <c r="A39" s="30"/>
      <c r="B39" s="31"/>
      <c r="C39" s="32"/>
      <c r="D39" s="33"/>
    </row>
    <row r="40" spans="1:22" x14ac:dyDescent="0.3">
      <c r="A40" s="34" t="s">
        <v>39</v>
      </c>
      <c r="B40" s="35"/>
      <c r="C40" s="35"/>
      <c r="D40" s="36"/>
    </row>
    <row r="41" spans="1:22" x14ac:dyDescent="0.3">
      <c r="A41" s="15">
        <v>1</v>
      </c>
      <c r="B41" s="37" t="s">
        <v>40</v>
      </c>
      <c r="C41" s="37" t="s">
        <v>41</v>
      </c>
      <c r="D41" s="18">
        <v>14950</v>
      </c>
    </row>
  </sheetData>
  <mergeCells count="2">
    <mergeCell ref="D1:I1"/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EEB3-6BFE-4CFE-85E1-11CEFD7F9966}">
  <dimension ref="A1:Z41"/>
  <sheetViews>
    <sheetView tabSelected="1" topLeftCell="R1" workbookViewId="0">
      <selection activeCell="AA30" sqref="AA30"/>
    </sheetView>
  </sheetViews>
  <sheetFormatPr defaultRowHeight="14.4" x14ac:dyDescent="0.3"/>
  <cols>
    <col min="2" max="2" width="31.109375" bestFit="1" customWidth="1"/>
    <col min="3" max="3" width="10.88671875" bestFit="1" customWidth="1"/>
    <col min="4" max="4" width="11.77734375" customWidth="1"/>
    <col min="5" max="5" width="11.109375" bestFit="1" customWidth="1"/>
    <col min="6" max="7" width="11.44140625" customWidth="1"/>
    <col min="8" max="8" width="13.6640625" customWidth="1"/>
    <col min="9" max="9" width="11.77734375" customWidth="1"/>
    <col min="11" max="14" width="14.33203125" customWidth="1"/>
    <col min="15" max="16" width="14.33203125" hidden="1" customWidth="1"/>
    <col min="17" max="18" width="14.33203125" customWidth="1"/>
    <col min="19" max="20" width="14.33203125" hidden="1" customWidth="1"/>
    <col min="21" max="22" width="14.33203125" customWidth="1"/>
    <col min="23" max="24" width="14.33203125" hidden="1" customWidth="1"/>
    <col min="25" max="25" width="20.44140625" customWidth="1"/>
    <col min="26" max="26" width="23.109375" customWidth="1"/>
  </cols>
  <sheetData>
    <row r="1" spans="1:26" ht="15.6" x14ac:dyDescent="0.3">
      <c r="D1" s="38" t="s">
        <v>0</v>
      </c>
      <c r="E1" s="38"/>
      <c r="F1" s="38"/>
      <c r="G1" s="38"/>
      <c r="H1" s="38"/>
      <c r="I1" s="38"/>
      <c r="J1" s="1"/>
      <c r="K1" s="39" t="s">
        <v>1</v>
      </c>
      <c r="L1" s="40"/>
      <c r="M1" s="40"/>
      <c r="N1" s="40"/>
      <c r="O1" s="40"/>
      <c r="P1" s="40"/>
      <c r="Q1" s="40"/>
      <c r="R1" s="40"/>
      <c r="S1" s="40"/>
      <c r="T1" s="42"/>
      <c r="U1" s="42"/>
      <c r="V1" s="42"/>
      <c r="W1" s="42"/>
      <c r="X1" s="41"/>
    </row>
    <row r="2" spans="1:26" ht="43.2" x14ac:dyDescent="0.3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4" t="s">
        <v>8</v>
      </c>
      <c r="K2" s="5" t="s">
        <v>5</v>
      </c>
      <c r="L2" s="6" t="s">
        <v>11</v>
      </c>
      <c r="M2" s="43" t="s">
        <v>42</v>
      </c>
      <c r="N2" s="7" t="s">
        <v>8</v>
      </c>
      <c r="O2" s="44" t="s">
        <v>43</v>
      </c>
      <c r="P2" s="45" t="s">
        <v>8</v>
      </c>
      <c r="Q2" s="66" t="s">
        <v>44</v>
      </c>
      <c r="R2" s="67" t="s">
        <v>8</v>
      </c>
      <c r="S2" s="44" t="s">
        <v>45</v>
      </c>
      <c r="T2" s="45" t="s">
        <v>8</v>
      </c>
      <c r="U2" s="69" t="s">
        <v>46</v>
      </c>
      <c r="V2" s="70" t="s">
        <v>8</v>
      </c>
      <c r="W2" s="45" t="s">
        <v>10</v>
      </c>
      <c r="X2" s="49" t="s">
        <v>8</v>
      </c>
      <c r="Y2" s="54" t="s">
        <v>48</v>
      </c>
      <c r="Z2" s="54" t="s">
        <v>47</v>
      </c>
    </row>
    <row r="3" spans="1:26" x14ac:dyDescent="0.3">
      <c r="A3" s="9" t="s">
        <v>12</v>
      </c>
      <c r="B3" s="10"/>
      <c r="C3" s="10"/>
      <c r="D3" s="11"/>
      <c r="E3" s="11"/>
      <c r="F3" s="11"/>
      <c r="G3" s="12"/>
      <c r="H3" s="11"/>
      <c r="I3" s="12"/>
      <c r="K3" s="13"/>
      <c r="M3" s="14"/>
      <c r="N3" s="14"/>
      <c r="O3" s="46"/>
      <c r="P3" s="46"/>
      <c r="Q3" s="68"/>
      <c r="R3" s="68"/>
      <c r="S3" s="46"/>
      <c r="T3" s="46"/>
      <c r="U3" s="71"/>
      <c r="V3" s="71"/>
      <c r="W3" s="46"/>
      <c r="X3" s="50"/>
      <c r="Y3" s="52"/>
      <c r="Z3" s="52"/>
    </row>
    <row r="4" spans="1:26" x14ac:dyDescent="0.3">
      <c r="A4" s="15">
        <v>1</v>
      </c>
      <c r="B4" s="16" t="s">
        <v>13</v>
      </c>
      <c r="C4" s="17" t="s">
        <v>14</v>
      </c>
      <c r="D4" s="18">
        <v>9990</v>
      </c>
      <c r="E4" s="19">
        <f>D4-(D4*0.1)</f>
        <v>8991</v>
      </c>
      <c r="F4" s="19">
        <f>E4*5</f>
        <v>44955</v>
      </c>
      <c r="G4" s="20">
        <f>F4/6</f>
        <v>7492.5</v>
      </c>
      <c r="H4" s="19">
        <f>E4*10</f>
        <v>89910</v>
      </c>
      <c r="I4" s="20">
        <f>H4/13</f>
        <v>6916.1538461538457</v>
      </c>
      <c r="K4" s="21">
        <v>11490</v>
      </c>
      <c r="L4" s="19">
        <f>K4-(K4*0.2)</f>
        <v>9192</v>
      </c>
      <c r="M4" s="20">
        <f>K4*3</f>
        <v>34470</v>
      </c>
      <c r="N4" s="20">
        <f>M4/4</f>
        <v>8617.5</v>
      </c>
      <c r="O4" s="47">
        <f>L4*3</f>
        <v>27576</v>
      </c>
      <c r="P4" s="47">
        <f>O4/4</f>
        <v>6894</v>
      </c>
      <c r="Q4" s="61">
        <f>K4*5</f>
        <v>57450</v>
      </c>
      <c r="R4" s="61">
        <f>Q4/7</f>
        <v>8207.1428571428569</v>
      </c>
      <c r="S4" s="47">
        <f>L4*5</f>
        <v>45960</v>
      </c>
      <c r="T4" s="48">
        <f>S4/7</f>
        <v>6565.7142857142853</v>
      </c>
      <c r="U4" s="72">
        <f>K4*10</f>
        <v>114900</v>
      </c>
      <c r="V4" s="72">
        <f>U4/15</f>
        <v>7660</v>
      </c>
      <c r="W4" s="48">
        <f t="shared" ref="W4:W25" si="0">L4*10</f>
        <v>91920</v>
      </c>
      <c r="X4" s="48">
        <f>W4/15</f>
        <v>6128</v>
      </c>
      <c r="Y4" s="53">
        <f>K4*10</f>
        <v>114900</v>
      </c>
      <c r="Z4" s="53">
        <f>Y4/18</f>
        <v>6383.333333333333</v>
      </c>
    </row>
    <row r="5" spans="1:26" x14ac:dyDescent="0.3">
      <c r="A5" s="15">
        <v>2</v>
      </c>
      <c r="B5" s="16" t="s">
        <v>15</v>
      </c>
      <c r="C5" s="17" t="s">
        <v>14</v>
      </c>
      <c r="D5" s="18">
        <v>9990</v>
      </c>
      <c r="E5" s="19">
        <f t="shared" ref="E5:E25" si="1">D5-(D5*0.1)</f>
        <v>8991</v>
      </c>
      <c r="F5" s="19">
        <f t="shared" ref="F5:F25" si="2">E5*5</f>
        <v>44955</v>
      </c>
      <c r="G5" s="20">
        <f t="shared" ref="G5:G38" si="3">F5/6</f>
        <v>7492.5</v>
      </c>
      <c r="H5" s="19">
        <f t="shared" ref="H5:H38" si="4">E5*10</f>
        <v>89910</v>
      </c>
      <c r="I5" s="20">
        <f t="shared" ref="I5:I38" si="5">H5/13</f>
        <v>6916.1538461538457</v>
      </c>
      <c r="K5" s="21">
        <v>11490</v>
      </c>
      <c r="L5" s="19">
        <f>K5-(K5*0.2)</f>
        <v>9192</v>
      </c>
      <c r="M5" s="20">
        <f>K5*3</f>
        <v>34470</v>
      </c>
      <c r="N5" s="20">
        <f t="shared" ref="N5:N25" si="6">M5/4</f>
        <v>8617.5</v>
      </c>
      <c r="O5" s="47">
        <f t="shared" ref="O5:O25" si="7">L5*3</f>
        <v>27576</v>
      </c>
      <c r="P5" s="47">
        <f t="shared" ref="P5:P25" si="8">O5/4</f>
        <v>6894</v>
      </c>
      <c r="Q5" s="61">
        <f>K5*5</f>
        <v>57450</v>
      </c>
      <c r="R5" s="61">
        <f t="shared" ref="R5:R25" si="9">Q5/7</f>
        <v>8207.1428571428569</v>
      </c>
      <c r="S5" s="47">
        <f t="shared" ref="S5:S25" si="10">L5*5</f>
        <v>45960</v>
      </c>
      <c r="T5" s="48">
        <f t="shared" ref="T5:T25" si="11">S5/7</f>
        <v>6565.7142857142853</v>
      </c>
      <c r="U5" s="72">
        <f t="shared" ref="U5:U25" si="12">K5*10</f>
        <v>114900</v>
      </c>
      <c r="V5" s="72">
        <f t="shared" ref="V5:V25" si="13">U5/15</f>
        <v>7660</v>
      </c>
      <c r="W5" s="48">
        <f t="shared" si="0"/>
        <v>91920</v>
      </c>
      <c r="X5" s="48">
        <f t="shared" ref="X5:X25" si="14">W5/15</f>
        <v>6128</v>
      </c>
      <c r="Y5" s="53">
        <f t="shared" ref="Y5:Y25" si="15">K5*10</f>
        <v>114900</v>
      </c>
      <c r="Z5" s="53">
        <f t="shared" ref="Z5:Z25" si="16">Y5/18</f>
        <v>6383.333333333333</v>
      </c>
    </row>
    <row r="6" spans="1:26" x14ac:dyDescent="0.3">
      <c r="A6" s="15">
        <v>3</v>
      </c>
      <c r="B6" s="16" t="s">
        <v>16</v>
      </c>
      <c r="C6" s="17" t="s">
        <v>14</v>
      </c>
      <c r="D6" s="18">
        <v>9990</v>
      </c>
      <c r="E6" s="19">
        <f t="shared" si="1"/>
        <v>8991</v>
      </c>
      <c r="F6" s="19">
        <f t="shared" si="2"/>
        <v>44955</v>
      </c>
      <c r="G6" s="20">
        <f t="shared" si="3"/>
        <v>7492.5</v>
      </c>
      <c r="H6" s="19">
        <f t="shared" si="4"/>
        <v>89910</v>
      </c>
      <c r="I6" s="20">
        <f t="shared" si="5"/>
        <v>6916.1538461538457</v>
      </c>
      <c r="K6" s="21">
        <v>11490</v>
      </c>
      <c r="L6" s="19">
        <f>K6-(K6*0.2)</f>
        <v>9192</v>
      </c>
      <c r="M6" s="20">
        <f>K6*3</f>
        <v>34470</v>
      </c>
      <c r="N6" s="20">
        <f t="shared" si="6"/>
        <v>8617.5</v>
      </c>
      <c r="O6" s="47">
        <f t="shared" si="7"/>
        <v>27576</v>
      </c>
      <c r="P6" s="47">
        <f t="shared" si="8"/>
        <v>6894</v>
      </c>
      <c r="Q6" s="61">
        <f>K6*5</f>
        <v>57450</v>
      </c>
      <c r="R6" s="61">
        <f t="shared" si="9"/>
        <v>8207.1428571428569</v>
      </c>
      <c r="S6" s="47">
        <f t="shared" si="10"/>
        <v>45960</v>
      </c>
      <c r="T6" s="48">
        <f t="shared" si="11"/>
        <v>6565.7142857142853</v>
      </c>
      <c r="U6" s="72">
        <f t="shared" si="12"/>
        <v>114900</v>
      </c>
      <c r="V6" s="72">
        <f t="shared" si="13"/>
        <v>7660</v>
      </c>
      <c r="W6" s="48">
        <f t="shared" si="0"/>
        <v>91920</v>
      </c>
      <c r="X6" s="48">
        <f t="shared" si="14"/>
        <v>6128</v>
      </c>
      <c r="Y6" s="53">
        <f t="shared" si="15"/>
        <v>114900</v>
      </c>
      <c r="Z6" s="53">
        <f t="shared" si="16"/>
        <v>6383.333333333333</v>
      </c>
    </row>
    <row r="7" spans="1:26" x14ac:dyDescent="0.3">
      <c r="A7" s="15">
        <v>4</v>
      </c>
      <c r="B7" s="24" t="s">
        <v>17</v>
      </c>
      <c r="C7" s="17" t="s">
        <v>14</v>
      </c>
      <c r="D7" s="18">
        <v>8990</v>
      </c>
      <c r="E7" s="19">
        <f t="shared" si="1"/>
        <v>8091</v>
      </c>
      <c r="F7" s="19">
        <f t="shared" si="2"/>
        <v>40455</v>
      </c>
      <c r="G7" s="20">
        <f t="shared" si="3"/>
        <v>6742.5</v>
      </c>
      <c r="H7" s="19">
        <f t="shared" si="4"/>
        <v>80910</v>
      </c>
      <c r="I7" s="20">
        <f t="shared" si="5"/>
        <v>6223.8461538461543</v>
      </c>
      <c r="K7" s="21">
        <v>10350</v>
      </c>
      <c r="L7" s="19">
        <f>K7-(K7*0.2)</f>
        <v>8280</v>
      </c>
      <c r="M7" s="20">
        <f>K7*3</f>
        <v>31050</v>
      </c>
      <c r="N7" s="20">
        <f t="shared" si="6"/>
        <v>7762.5</v>
      </c>
      <c r="O7" s="47">
        <f t="shared" si="7"/>
        <v>24840</v>
      </c>
      <c r="P7" s="47">
        <f t="shared" si="8"/>
        <v>6210</v>
      </c>
      <c r="Q7" s="61">
        <f>K7*5</f>
        <v>51750</v>
      </c>
      <c r="R7" s="61">
        <f t="shared" si="9"/>
        <v>7392.8571428571431</v>
      </c>
      <c r="S7" s="47">
        <f t="shared" si="10"/>
        <v>41400</v>
      </c>
      <c r="T7" s="48">
        <f t="shared" si="11"/>
        <v>5914.2857142857147</v>
      </c>
      <c r="U7" s="72">
        <f t="shared" si="12"/>
        <v>103500</v>
      </c>
      <c r="V7" s="72">
        <f t="shared" si="13"/>
        <v>6900</v>
      </c>
      <c r="W7" s="48">
        <f t="shared" si="0"/>
        <v>82800</v>
      </c>
      <c r="X7" s="48">
        <f t="shared" si="14"/>
        <v>5520</v>
      </c>
      <c r="Y7" s="53">
        <f t="shared" si="15"/>
        <v>103500</v>
      </c>
      <c r="Z7" s="53">
        <f t="shared" si="16"/>
        <v>5750</v>
      </c>
    </row>
    <row r="8" spans="1:26" x14ac:dyDescent="0.3">
      <c r="A8" s="15">
        <v>5</v>
      </c>
      <c r="B8" s="16" t="s">
        <v>18</v>
      </c>
      <c r="C8" s="17" t="s">
        <v>14</v>
      </c>
      <c r="D8" s="18">
        <v>9990</v>
      </c>
      <c r="E8" s="19">
        <f t="shared" si="1"/>
        <v>8991</v>
      </c>
      <c r="F8" s="19">
        <f t="shared" si="2"/>
        <v>44955</v>
      </c>
      <c r="G8" s="20">
        <f t="shared" si="3"/>
        <v>7492.5</v>
      </c>
      <c r="H8" s="19">
        <f t="shared" si="4"/>
        <v>89910</v>
      </c>
      <c r="I8" s="20">
        <f t="shared" si="5"/>
        <v>6916.1538461538457</v>
      </c>
      <c r="K8" s="21">
        <v>11490</v>
      </c>
      <c r="L8" s="19">
        <f>K8-(K8*0.2)</f>
        <v>9192</v>
      </c>
      <c r="M8" s="20">
        <f>K8*3</f>
        <v>34470</v>
      </c>
      <c r="N8" s="20">
        <f t="shared" si="6"/>
        <v>8617.5</v>
      </c>
      <c r="O8" s="47">
        <f t="shared" si="7"/>
        <v>27576</v>
      </c>
      <c r="P8" s="47">
        <f t="shared" si="8"/>
        <v>6894</v>
      </c>
      <c r="Q8" s="61">
        <f>K8*5</f>
        <v>57450</v>
      </c>
      <c r="R8" s="61">
        <f t="shared" si="9"/>
        <v>8207.1428571428569</v>
      </c>
      <c r="S8" s="47">
        <f t="shared" si="10"/>
        <v>45960</v>
      </c>
      <c r="T8" s="48">
        <f t="shared" si="11"/>
        <v>6565.7142857142853</v>
      </c>
      <c r="U8" s="72">
        <f t="shared" si="12"/>
        <v>114900</v>
      </c>
      <c r="V8" s="72">
        <f t="shared" si="13"/>
        <v>7660</v>
      </c>
      <c r="W8" s="48">
        <f t="shared" si="0"/>
        <v>91920</v>
      </c>
      <c r="X8" s="48">
        <f t="shared" si="14"/>
        <v>6128</v>
      </c>
      <c r="Y8" s="53">
        <f t="shared" si="15"/>
        <v>114900</v>
      </c>
      <c r="Z8" s="53">
        <f t="shared" si="16"/>
        <v>6383.333333333333</v>
      </c>
    </row>
    <row r="9" spans="1:26" x14ac:dyDescent="0.3">
      <c r="A9" s="15">
        <v>6</v>
      </c>
      <c r="B9" s="24" t="s">
        <v>19</v>
      </c>
      <c r="C9" s="17" t="s">
        <v>14</v>
      </c>
      <c r="D9" s="18">
        <v>9490</v>
      </c>
      <c r="E9" s="19">
        <f t="shared" si="1"/>
        <v>8541</v>
      </c>
      <c r="F9" s="19">
        <f t="shared" si="2"/>
        <v>42705</v>
      </c>
      <c r="G9" s="20">
        <f t="shared" si="3"/>
        <v>7117.5</v>
      </c>
      <c r="H9" s="19">
        <f t="shared" si="4"/>
        <v>85410</v>
      </c>
      <c r="I9" s="20">
        <f t="shared" si="5"/>
        <v>6570</v>
      </c>
      <c r="K9" s="21">
        <v>10990</v>
      </c>
      <c r="L9" s="19">
        <f>K9-(K9*0.2)</f>
        <v>8792</v>
      </c>
      <c r="M9" s="20">
        <f>K9*3</f>
        <v>32970</v>
      </c>
      <c r="N9" s="20">
        <f t="shared" si="6"/>
        <v>8242.5</v>
      </c>
      <c r="O9" s="47">
        <f t="shared" si="7"/>
        <v>26376</v>
      </c>
      <c r="P9" s="47">
        <f t="shared" si="8"/>
        <v>6594</v>
      </c>
      <c r="Q9" s="61">
        <f>K9*5</f>
        <v>54950</v>
      </c>
      <c r="R9" s="61">
        <f t="shared" si="9"/>
        <v>7850</v>
      </c>
      <c r="S9" s="47">
        <f t="shared" si="10"/>
        <v>43960</v>
      </c>
      <c r="T9" s="48">
        <f t="shared" si="11"/>
        <v>6280</v>
      </c>
      <c r="U9" s="72">
        <f t="shared" si="12"/>
        <v>109900</v>
      </c>
      <c r="V9" s="72">
        <f t="shared" si="13"/>
        <v>7326.666666666667</v>
      </c>
      <c r="W9" s="48">
        <f t="shared" si="0"/>
        <v>87920</v>
      </c>
      <c r="X9" s="48">
        <f t="shared" si="14"/>
        <v>5861.333333333333</v>
      </c>
      <c r="Y9" s="53">
        <f t="shared" si="15"/>
        <v>109900</v>
      </c>
      <c r="Z9" s="53">
        <f t="shared" si="16"/>
        <v>6105.5555555555557</v>
      </c>
    </row>
    <row r="10" spans="1:26" x14ac:dyDescent="0.3">
      <c r="A10" s="15">
        <v>7</v>
      </c>
      <c r="B10" s="24" t="s">
        <v>20</v>
      </c>
      <c r="C10" s="17" t="s">
        <v>14</v>
      </c>
      <c r="D10" s="18">
        <v>8990</v>
      </c>
      <c r="E10" s="19">
        <f t="shared" si="1"/>
        <v>8091</v>
      </c>
      <c r="F10" s="19">
        <f t="shared" si="2"/>
        <v>40455</v>
      </c>
      <c r="G10" s="20">
        <f t="shared" si="3"/>
        <v>6742.5</v>
      </c>
      <c r="H10" s="19">
        <f t="shared" si="4"/>
        <v>80910</v>
      </c>
      <c r="I10" s="20">
        <f t="shared" si="5"/>
        <v>6223.8461538461543</v>
      </c>
      <c r="K10" s="21">
        <v>10350</v>
      </c>
      <c r="L10" s="19">
        <f>K10-(K10*0.2)</f>
        <v>8280</v>
      </c>
      <c r="M10" s="20">
        <f>K10*3</f>
        <v>31050</v>
      </c>
      <c r="N10" s="20">
        <f t="shared" si="6"/>
        <v>7762.5</v>
      </c>
      <c r="O10" s="47">
        <f t="shared" si="7"/>
        <v>24840</v>
      </c>
      <c r="P10" s="47">
        <f t="shared" si="8"/>
        <v>6210</v>
      </c>
      <c r="Q10" s="61">
        <f>K10*5</f>
        <v>51750</v>
      </c>
      <c r="R10" s="61">
        <f t="shared" si="9"/>
        <v>7392.8571428571431</v>
      </c>
      <c r="S10" s="47">
        <f t="shared" si="10"/>
        <v>41400</v>
      </c>
      <c r="T10" s="48">
        <f t="shared" si="11"/>
        <v>5914.2857142857147</v>
      </c>
      <c r="U10" s="72">
        <f t="shared" si="12"/>
        <v>103500</v>
      </c>
      <c r="V10" s="72">
        <f t="shared" si="13"/>
        <v>6900</v>
      </c>
      <c r="W10" s="48">
        <f t="shared" si="0"/>
        <v>82800</v>
      </c>
      <c r="X10" s="48">
        <f t="shared" si="14"/>
        <v>5520</v>
      </c>
      <c r="Y10" s="53">
        <f t="shared" si="15"/>
        <v>103500</v>
      </c>
      <c r="Z10" s="53">
        <f t="shared" si="16"/>
        <v>5750</v>
      </c>
    </row>
    <row r="11" spans="1:26" x14ac:dyDescent="0.3">
      <c r="A11" s="15">
        <v>8</v>
      </c>
      <c r="B11" s="16" t="s">
        <v>21</v>
      </c>
      <c r="C11" s="17" t="s">
        <v>14</v>
      </c>
      <c r="D11" s="18">
        <v>9990</v>
      </c>
      <c r="E11" s="19">
        <f t="shared" si="1"/>
        <v>8991</v>
      </c>
      <c r="F11" s="19">
        <f t="shared" si="2"/>
        <v>44955</v>
      </c>
      <c r="G11" s="20">
        <f t="shared" si="3"/>
        <v>7492.5</v>
      </c>
      <c r="H11" s="19">
        <f t="shared" si="4"/>
        <v>89910</v>
      </c>
      <c r="I11" s="20">
        <f t="shared" si="5"/>
        <v>6916.1538461538457</v>
      </c>
      <c r="K11" s="21">
        <v>11490</v>
      </c>
      <c r="L11" s="19">
        <f>K11-(K11*0.2)</f>
        <v>9192</v>
      </c>
      <c r="M11" s="20">
        <f>K11*3</f>
        <v>34470</v>
      </c>
      <c r="N11" s="20">
        <f t="shared" si="6"/>
        <v>8617.5</v>
      </c>
      <c r="O11" s="47">
        <f t="shared" si="7"/>
        <v>27576</v>
      </c>
      <c r="P11" s="47">
        <f t="shared" si="8"/>
        <v>6894</v>
      </c>
      <c r="Q11" s="61">
        <f>K11*5</f>
        <v>57450</v>
      </c>
      <c r="R11" s="61">
        <f t="shared" si="9"/>
        <v>8207.1428571428569</v>
      </c>
      <c r="S11" s="47">
        <f t="shared" si="10"/>
        <v>45960</v>
      </c>
      <c r="T11" s="48">
        <f t="shared" si="11"/>
        <v>6565.7142857142853</v>
      </c>
      <c r="U11" s="72">
        <f t="shared" si="12"/>
        <v>114900</v>
      </c>
      <c r="V11" s="72">
        <f t="shared" si="13"/>
        <v>7660</v>
      </c>
      <c r="W11" s="48">
        <f t="shared" si="0"/>
        <v>91920</v>
      </c>
      <c r="X11" s="48">
        <f t="shared" si="14"/>
        <v>6128</v>
      </c>
      <c r="Y11" s="53">
        <f t="shared" si="15"/>
        <v>114900</v>
      </c>
      <c r="Z11" s="53">
        <f t="shared" si="16"/>
        <v>6383.333333333333</v>
      </c>
    </row>
    <row r="12" spans="1:26" x14ac:dyDescent="0.3">
      <c r="A12" s="15">
        <v>9</v>
      </c>
      <c r="B12" s="24" t="s">
        <v>22</v>
      </c>
      <c r="C12" s="17" t="s">
        <v>14</v>
      </c>
      <c r="D12" s="18">
        <v>9490</v>
      </c>
      <c r="E12" s="19">
        <f t="shared" si="1"/>
        <v>8541</v>
      </c>
      <c r="F12" s="19">
        <f t="shared" si="2"/>
        <v>42705</v>
      </c>
      <c r="G12" s="20">
        <f t="shared" si="3"/>
        <v>7117.5</v>
      </c>
      <c r="H12" s="19">
        <f t="shared" si="4"/>
        <v>85410</v>
      </c>
      <c r="I12" s="20">
        <f t="shared" si="5"/>
        <v>6570</v>
      </c>
      <c r="K12" s="21">
        <v>10990</v>
      </c>
      <c r="L12" s="19">
        <f>K12-(K12*0.2)</f>
        <v>8792</v>
      </c>
      <c r="M12" s="20">
        <f>K12*3</f>
        <v>32970</v>
      </c>
      <c r="N12" s="20">
        <f t="shared" si="6"/>
        <v>8242.5</v>
      </c>
      <c r="O12" s="47">
        <f t="shared" si="7"/>
        <v>26376</v>
      </c>
      <c r="P12" s="47">
        <f t="shared" si="8"/>
        <v>6594</v>
      </c>
      <c r="Q12" s="61">
        <f>K12*5</f>
        <v>54950</v>
      </c>
      <c r="R12" s="61">
        <f t="shared" si="9"/>
        <v>7850</v>
      </c>
      <c r="S12" s="47">
        <f t="shared" si="10"/>
        <v>43960</v>
      </c>
      <c r="T12" s="48">
        <f t="shared" si="11"/>
        <v>6280</v>
      </c>
      <c r="U12" s="72">
        <f t="shared" si="12"/>
        <v>109900</v>
      </c>
      <c r="V12" s="72">
        <f t="shared" si="13"/>
        <v>7326.666666666667</v>
      </c>
      <c r="W12" s="48">
        <f t="shared" si="0"/>
        <v>87920</v>
      </c>
      <c r="X12" s="48">
        <f t="shared" si="14"/>
        <v>5861.333333333333</v>
      </c>
      <c r="Y12" s="53">
        <f t="shared" si="15"/>
        <v>109900</v>
      </c>
      <c r="Z12" s="53">
        <f t="shared" si="16"/>
        <v>6105.5555555555557</v>
      </c>
    </row>
    <row r="13" spans="1:26" x14ac:dyDescent="0.3">
      <c r="A13" s="15">
        <v>10</v>
      </c>
      <c r="B13" s="24" t="s">
        <v>23</v>
      </c>
      <c r="C13" s="17" t="s">
        <v>14</v>
      </c>
      <c r="D13" s="18">
        <v>9490</v>
      </c>
      <c r="E13" s="19">
        <f t="shared" si="1"/>
        <v>8541</v>
      </c>
      <c r="F13" s="19">
        <f t="shared" si="2"/>
        <v>42705</v>
      </c>
      <c r="G13" s="20">
        <f t="shared" si="3"/>
        <v>7117.5</v>
      </c>
      <c r="H13" s="19">
        <f t="shared" si="4"/>
        <v>85410</v>
      </c>
      <c r="I13" s="20">
        <f t="shared" si="5"/>
        <v>6570</v>
      </c>
      <c r="K13" s="21">
        <v>10990</v>
      </c>
      <c r="L13" s="19">
        <f>K13-(K13*0.2)</f>
        <v>8792</v>
      </c>
      <c r="M13" s="20">
        <f>K13*3</f>
        <v>32970</v>
      </c>
      <c r="N13" s="20">
        <f t="shared" si="6"/>
        <v>8242.5</v>
      </c>
      <c r="O13" s="47">
        <f t="shared" si="7"/>
        <v>26376</v>
      </c>
      <c r="P13" s="47">
        <f t="shared" si="8"/>
        <v>6594</v>
      </c>
      <c r="Q13" s="61">
        <f>K13*5</f>
        <v>54950</v>
      </c>
      <c r="R13" s="61">
        <f t="shared" si="9"/>
        <v>7850</v>
      </c>
      <c r="S13" s="47">
        <f t="shared" si="10"/>
        <v>43960</v>
      </c>
      <c r="T13" s="48">
        <f t="shared" si="11"/>
        <v>6280</v>
      </c>
      <c r="U13" s="72">
        <f t="shared" si="12"/>
        <v>109900</v>
      </c>
      <c r="V13" s="72">
        <f t="shared" si="13"/>
        <v>7326.666666666667</v>
      </c>
      <c r="W13" s="48">
        <f t="shared" si="0"/>
        <v>87920</v>
      </c>
      <c r="X13" s="48">
        <f t="shared" si="14"/>
        <v>5861.333333333333</v>
      </c>
      <c r="Y13" s="53">
        <f t="shared" si="15"/>
        <v>109900</v>
      </c>
      <c r="Z13" s="53">
        <f t="shared" si="16"/>
        <v>6105.5555555555557</v>
      </c>
    </row>
    <row r="14" spans="1:26" x14ac:dyDescent="0.3">
      <c r="A14" s="15">
        <v>11</v>
      </c>
      <c r="B14" s="16" t="s">
        <v>24</v>
      </c>
      <c r="C14" s="17" t="s">
        <v>14</v>
      </c>
      <c r="D14" s="18">
        <v>9990</v>
      </c>
      <c r="E14" s="19">
        <f t="shared" si="1"/>
        <v>8991</v>
      </c>
      <c r="F14" s="19">
        <f t="shared" si="2"/>
        <v>44955</v>
      </c>
      <c r="G14" s="20">
        <f t="shared" si="3"/>
        <v>7492.5</v>
      </c>
      <c r="H14" s="19">
        <f t="shared" si="4"/>
        <v>89910</v>
      </c>
      <c r="I14" s="20">
        <f t="shared" si="5"/>
        <v>6916.1538461538457</v>
      </c>
      <c r="K14" s="21">
        <v>11490</v>
      </c>
      <c r="L14" s="19">
        <f>K14-(K14*0.2)</f>
        <v>9192</v>
      </c>
      <c r="M14" s="20">
        <f>K14*3</f>
        <v>34470</v>
      </c>
      <c r="N14" s="20">
        <f t="shared" si="6"/>
        <v>8617.5</v>
      </c>
      <c r="O14" s="47">
        <f t="shared" si="7"/>
        <v>27576</v>
      </c>
      <c r="P14" s="47">
        <f t="shared" si="8"/>
        <v>6894</v>
      </c>
      <c r="Q14" s="61">
        <f>K14*5</f>
        <v>57450</v>
      </c>
      <c r="R14" s="61">
        <f t="shared" si="9"/>
        <v>8207.1428571428569</v>
      </c>
      <c r="S14" s="47">
        <f t="shared" si="10"/>
        <v>45960</v>
      </c>
      <c r="T14" s="48">
        <f t="shared" si="11"/>
        <v>6565.7142857142853</v>
      </c>
      <c r="U14" s="72">
        <f t="shared" si="12"/>
        <v>114900</v>
      </c>
      <c r="V14" s="72">
        <f t="shared" si="13"/>
        <v>7660</v>
      </c>
      <c r="W14" s="48">
        <f t="shared" si="0"/>
        <v>91920</v>
      </c>
      <c r="X14" s="48">
        <f t="shared" si="14"/>
        <v>6128</v>
      </c>
      <c r="Y14" s="53">
        <f t="shared" si="15"/>
        <v>114900</v>
      </c>
      <c r="Z14" s="53">
        <f t="shared" si="16"/>
        <v>6383.333333333333</v>
      </c>
    </row>
    <row r="15" spans="1:26" x14ac:dyDescent="0.3">
      <c r="A15" s="15">
        <v>12</v>
      </c>
      <c r="B15" s="24" t="s">
        <v>25</v>
      </c>
      <c r="C15" s="17" t="s">
        <v>14</v>
      </c>
      <c r="D15" s="18">
        <v>9490</v>
      </c>
      <c r="E15" s="19">
        <f t="shared" si="1"/>
        <v>8541</v>
      </c>
      <c r="F15" s="19">
        <f t="shared" si="2"/>
        <v>42705</v>
      </c>
      <c r="G15" s="20">
        <f t="shared" si="3"/>
        <v>7117.5</v>
      </c>
      <c r="H15" s="19">
        <f t="shared" si="4"/>
        <v>85410</v>
      </c>
      <c r="I15" s="20">
        <f t="shared" si="5"/>
        <v>6570</v>
      </c>
      <c r="K15" s="21">
        <v>10990</v>
      </c>
      <c r="L15" s="19">
        <f>K15-(K15*0.2)</f>
        <v>8792</v>
      </c>
      <c r="M15" s="20">
        <f>K15*3</f>
        <v>32970</v>
      </c>
      <c r="N15" s="20">
        <f t="shared" si="6"/>
        <v>8242.5</v>
      </c>
      <c r="O15" s="47">
        <f t="shared" si="7"/>
        <v>26376</v>
      </c>
      <c r="P15" s="47">
        <f t="shared" si="8"/>
        <v>6594</v>
      </c>
      <c r="Q15" s="61">
        <f>K15*5</f>
        <v>54950</v>
      </c>
      <c r="R15" s="61">
        <f t="shared" si="9"/>
        <v>7850</v>
      </c>
      <c r="S15" s="47">
        <f t="shared" si="10"/>
        <v>43960</v>
      </c>
      <c r="T15" s="48">
        <f t="shared" si="11"/>
        <v>6280</v>
      </c>
      <c r="U15" s="72">
        <f t="shared" si="12"/>
        <v>109900</v>
      </c>
      <c r="V15" s="72">
        <f t="shared" si="13"/>
        <v>7326.666666666667</v>
      </c>
      <c r="W15" s="48">
        <f t="shared" si="0"/>
        <v>87920</v>
      </c>
      <c r="X15" s="48">
        <f t="shared" si="14"/>
        <v>5861.333333333333</v>
      </c>
      <c r="Y15" s="53">
        <f t="shared" si="15"/>
        <v>109900</v>
      </c>
      <c r="Z15" s="53">
        <f t="shared" si="16"/>
        <v>6105.5555555555557</v>
      </c>
    </row>
    <row r="16" spans="1:26" x14ac:dyDescent="0.3">
      <c r="A16" s="15">
        <v>13</v>
      </c>
      <c r="B16" s="24" t="s">
        <v>26</v>
      </c>
      <c r="C16" s="17" t="s">
        <v>14</v>
      </c>
      <c r="D16" s="18">
        <v>9490</v>
      </c>
      <c r="E16" s="19">
        <f t="shared" si="1"/>
        <v>8541</v>
      </c>
      <c r="F16" s="19">
        <f t="shared" si="2"/>
        <v>42705</v>
      </c>
      <c r="G16" s="20">
        <f t="shared" si="3"/>
        <v>7117.5</v>
      </c>
      <c r="H16" s="19">
        <f t="shared" si="4"/>
        <v>85410</v>
      </c>
      <c r="I16" s="20">
        <f t="shared" si="5"/>
        <v>6570</v>
      </c>
      <c r="K16" s="21">
        <v>10990</v>
      </c>
      <c r="L16" s="19">
        <f>K16-(K16*0.2)</f>
        <v>8792</v>
      </c>
      <c r="M16" s="20">
        <f>K16*3</f>
        <v>32970</v>
      </c>
      <c r="N16" s="20">
        <f t="shared" si="6"/>
        <v>8242.5</v>
      </c>
      <c r="O16" s="47">
        <f t="shared" si="7"/>
        <v>26376</v>
      </c>
      <c r="P16" s="47">
        <f t="shared" si="8"/>
        <v>6594</v>
      </c>
      <c r="Q16" s="61">
        <f>K16*5</f>
        <v>54950</v>
      </c>
      <c r="R16" s="61">
        <f t="shared" si="9"/>
        <v>7850</v>
      </c>
      <c r="S16" s="47">
        <f t="shared" si="10"/>
        <v>43960</v>
      </c>
      <c r="T16" s="48">
        <f t="shared" si="11"/>
        <v>6280</v>
      </c>
      <c r="U16" s="72">
        <f t="shared" si="12"/>
        <v>109900</v>
      </c>
      <c r="V16" s="72">
        <f t="shared" si="13"/>
        <v>7326.666666666667</v>
      </c>
      <c r="W16" s="48">
        <f t="shared" si="0"/>
        <v>87920</v>
      </c>
      <c r="X16" s="48">
        <f t="shared" si="14"/>
        <v>5861.333333333333</v>
      </c>
      <c r="Y16" s="53">
        <f t="shared" si="15"/>
        <v>109900</v>
      </c>
      <c r="Z16" s="53">
        <f t="shared" si="16"/>
        <v>6105.5555555555557</v>
      </c>
    </row>
    <row r="17" spans="1:26" x14ac:dyDescent="0.3">
      <c r="A17" s="15">
        <v>14</v>
      </c>
      <c r="B17" s="24" t="s">
        <v>27</v>
      </c>
      <c r="C17" s="17" t="s">
        <v>14</v>
      </c>
      <c r="D17" s="18">
        <v>9490</v>
      </c>
      <c r="E17" s="19">
        <f t="shared" si="1"/>
        <v>8541</v>
      </c>
      <c r="F17" s="19">
        <f t="shared" si="2"/>
        <v>42705</v>
      </c>
      <c r="G17" s="20">
        <f t="shared" si="3"/>
        <v>7117.5</v>
      </c>
      <c r="H17" s="19">
        <f t="shared" si="4"/>
        <v>85410</v>
      </c>
      <c r="I17" s="20">
        <f t="shared" si="5"/>
        <v>6570</v>
      </c>
      <c r="K17" s="21">
        <v>10990</v>
      </c>
      <c r="L17" s="19">
        <f>K17-(K17*0.2)</f>
        <v>8792</v>
      </c>
      <c r="M17" s="20">
        <f>K17*3</f>
        <v>32970</v>
      </c>
      <c r="N17" s="20">
        <f t="shared" si="6"/>
        <v>8242.5</v>
      </c>
      <c r="O17" s="47">
        <f t="shared" si="7"/>
        <v>26376</v>
      </c>
      <c r="P17" s="47">
        <f t="shared" si="8"/>
        <v>6594</v>
      </c>
      <c r="Q17" s="61">
        <f>K17*5</f>
        <v>54950</v>
      </c>
      <c r="R17" s="61">
        <f t="shared" si="9"/>
        <v>7850</v>
      </c>
      <c r="S17" s="47">
        <f t="shared" si="10"/>
        <v>43960</v>
      </c>
      <c r="T17" s="48">
        <f t="shared" si="11"/>
        <v>6280</v>
      </c>
      <c r="U17" s="72">
        <f t="shared" si="12"/>
        <v>109900</v>
      </c>
      <c r="V17" s="72">
        <f t="shared" si="13"/>
        <v>7326.666666666667</v>
      </c>
      <c r="W17" s="48">
        <f t="shared" si="0"/>
        <v>87920</v>
      </c>
      <c r="X17" s="48">
        <f t="shared" si="14"/>
        <v>5861.333333333333</v>
      </c>
      <c r="Y17" s="53">
        <f t="shared" si="15"/>
        <v>109900</v>
      </c>
      <c r="Z17" s="53">
        <f t="shared" si="16"/>
        <v>6105.5555555555557</v>
      </c>
    </row>
    <row r="18" spans="1:26" x14ac:dyDescent="0.3">
      <c r="A18" s="15">
        <v>15</v>
      </c>
      <c r="B18" s="16" t="s">
        <v>28</v>
      </c>
      <c r="C18" s="17" t="s">
        <v>14</v>
      </c>
      <c r="D18" s="18">
        <v>9990</v>
      </c>
      <c r="E18" s="19">
        <f t="shared" si="1"/>
        <v>8991</v>
      </c>
      <c r="F18" s="19">
        <f t="shared" si="2"/>
        <v>44955</v>
      </c>
      <c r="G18" s="20">
        <f t="shared" si="3"/>
        <v>7492.5</v>
      </c>
      <c r="H18" s="19">
        <f t="shared" si="4"/>
        <v>89910</v>
      </c>
      <c r="I18" s="20">
        <f t="shared" si="5"/>
        <v>6916.1538461538457</v>
      </c>
      <c r="K18" s="21">
        <v>11490</v>
      </c>
      <c r="L18" s="19">
        <f>K18-(K18*0.2)</f>
        <v>9192</v>
      </c>
      <c r="M18" s="20">
        <f>K18*3</f>
        <v>34470</v>
      </c>
      <c r="N18" s="20">
        <f t="shared" si="6"/>
        <v>8617.5</v>
      </c>
      <c r="O18" s="47">
        <f t="shared" si="7"/>
        <v>27576</v>
      </c>
      <c r="P18" s="47">
        <f t="shared" si="8"/>
        <v>6894</v>
      </c>
      <c r="Q18" s="61">
        <f>K18*5</f>
        <v>57450</v>
      </c>
      <c r="R18" s="61">
        <f t="shared" si="9"/>
        <v>8207.1428571428569</v>
      </c>
      <c r="S18" s="47">
        <f t="shared" si="10"/>
        <v>45960</v>
      </c>
      <c r="T18" s="48">
        <f t="shared" si="11"/>
        <v>6565.7142857142853</v>
      </c>
      <c r="U18" s="72">
        <f t="shared" si="12"/>
        <v>114900</v>
      </c>
      <c r="V18" s="72">
        <f t="shared" si="13"/>
        <v>7660</v>
      </c>
      <c r="W18" s="48">
        <f t="shared" si="0"/>
        <v>91920</v>
      </c>
      <c r="X18" s="48">
        <f t="shared" si="14"/>
        <v>6128</v>
      </c>
      <c r="Y18" s="53">
        <f t="shared" si="15"/>
        <v>114900</v>
      </c>
      <c r="Z18" s="53">
        <f t="shared" si="16"/>
        <v>6383.333333333333</v>
      </c>
    </row>
    <row r="19" spans="1:26" x14ac:dyDescent="0.3">
      <c r="A19" s="15">
        <v>16</v>
      </c>
      <c r="B19" s="24" t="s">
        <v>29</v>
      </c>
      <c r="C19" s="17" t="s">
        <v>14</v>
      </c>
      <c r="D19" s="18">
        <v>8990</v>
      </c>
      <c r="E19" s="19">
        <f t="shared" si="1"/>
        <v>8091</v>
      </c>
      <c r="F19" s="19">
        <f t="shared" si="2"/>
        <v>40455</v>
      </c>
      <c r="G19" s="20">
        <f t="shared" si="3"/>
        <v>6742.5</v>
      </c>
      <c r="H19" s="19">
        <f t="shared" si="4"/>
        <v>80910</v>
      </c>
      <c r="I19" s="20">
        <f t="shared" si="5"/>
        <v>6223.8461538461543</v>
      </c>
      <c r="K19" s="21">
        <v>10350</v>
      </c>
      <c r="L19" s="19">
        <f>K19-(K19*0.2)</f>
        <v>8280</v>
      </c>
      <c r="M19" s="20">
        <f>K19*3</f>
        <v>31050</v>
      </c>
      <c r="N19" s="20">
        <f t="shared" si="6"/>
        <v>7762.5</v>
      </c>
      <c r="O19" s="47">
        <f t="shared" si="7"/>
        <v>24840</v>
      </c>
      <c r="P19" s="47">
        <f t="shared" si="8"/>
        <v>6210</v>
      </c>
      <c r="Q19" s="61">
        <f>K19*5</f>
        <v>51750</v>
      </c>
      <c r="R19" s="61">
        <f t="shared" si="9"/>
        <v>7392.8571428571431</v>
      </c>
      <c r="S19" s="47">
        <f t="shared" si="10"/>
        <v>41400</v>
      </c>
      <c r="T19" s="48">
        <f t="shared" si="11"/>
        <v>5914.2857142857147</v>
      </c>
      <c r="U19" s="72">
        <f t="shared" si="12"/>
        <v>103500</v>
      </c>
      <c r="V19" s="72">
        <f t="shared" si="13"/>
        <v>6900</v>
      </c>
      <c r="W19" s="48">
        <f t="shared" si="0"/>
        <v>82800</v>
      </c>
      <c r="X19" s="48">
        <f t="shared" si="14"/>
        <v>5520</v>
      </c>
      <c r="Y19" s="53">
        <f t="shared" si="15"/>
        <v>103500</v>
      </c>
      <c r="Z19" s="53">
        <f t="shared" si="16"/>
        <v>5750</v>
      </c>
    </row>
    <row r="20" spans="1:26" x14ac:dyDescent="0.3">
      <c r="A20" s="15">
        <v>17</v>
      </c>
      <c r="B20" s="24" t="s">
        <v>30</v>
      </c>
      <c r="C20" s="17" t="s">
        <v>14</v>
      </c>
      <c r="D20" s="18">
        <v>8990</v>
      </c>
      <c r="E20" s="19">
        <f t="shared" si="1"/>
        <v>8091</v>
      </c>
      <c r="F20" s="19">
        <f t="shared" si="2"/>
        <v>40455</v>
      </c>
      <c r="G20" s="20">
        <f t="shared" si="3"/>
        <v>6742.5</v>
      </c>
      <c r="H20" s="19">
        <f t="shared" si="4"/>
        <v>80910</v>
      </c>
      <c r="I20" s="20">
        <f t="shared" si="5"/>
        <v>6223.8461538461543</v>
      </c>
      <c r="K20" s="21">
        <v>10350</v>
      </c>
      <c r="L20" s="19">
        <f>K20-(K20*0.2)</f>
        <v>8280</v>
      </c>
      <c r="M20" s="20">
        <f>K20*3</f>
        <v>31050</v>
      </c>
      <c r="N20" s="20">
        <f t="shared" si="6"/>
        <v>7762.5</v>
      </c>
      <c r="O20" s="47">
        <f t="shared" si="7"/>
        <v>24840</v>
      </c>
      <c r="P20" s="47">
        <f t="shared" si="8"/>
        <v>6210</v>
      </c>
      <c r="Q20" s="61">
        <f>K20*5</f>
        <v>51750</v>
      </c>
      <c r="R20" s="61">
        <f t="shared" si="9"/>
        <v>7392.8571428571431</v>
      </c>
      <c r="S20" s="47">
        <f t="shared" si="10"/>
        <v>41400</v>
      </c>
      <c r="T20" s="48">
        <f t="shared" si="11"/>
        <v>5914.2857142857147</v>
      </c>
      <c r="U20" s="72">
        <f t="shared" si="12"/>
        <v>103500</v>
      </c>
      <c r="V20" s="72">
        <f t="shared" si="13"/>
        <v>6900</v>
      </c>
      <c r="W20" s="48">
        <f t="shared" si="0"/>
        <v>82800</v>
      </c>
      <c r="X20" s="48">
        <f t="shared" si="14"/>
        <v>5520</v>
      </c>
      <c r="Y20" s="53">
        <f t="shared" si="15"/>
        <v>103500</v>
      </c>
      <c r="Z20" s="53">
        <f t="shared" si="16"/>
        <v>5750</v>
      </c>
    </row>
    <row r="21" spans="1:26" x14ac:dyDescent="0.3">
      <c r="A21" s="15">
        <v>18</v>
      </c>
      <c r="B21" s="16" t="s">
        <v>31</v>
      </c>
      <c r="C21" s="17" t="s">
        <v>14</v>
      </c>
      <c r="D21" s="18">
        <v>9990</v>
      </c>
      <c r="E21" s="19">
        <f t="shared" si="1"/>
        <v>8991</v>
      </c>
      <c r="F21" s="19">
        <f t="shared" si="2"/>
        <v>44955</v>
      </c>
      <c r="G21" s="20">
        <f t="shared" si="3"/>
        <v>7492.5</v>
      </c>
      <c r="H21" s="19">
        <f t="shared" si="4"/>
        <v>89910</v>
      </c>
      <c r="I21" s="20">
        <f t="shared" si="5"/>
        <v>6916.1538461538457</v>
      </c>
      <c r="K21" s="21">
        <v>11490</v>
      </c>
      <c r="L21" s="19">
        <f>K21-(K21*0.2)</f>
        <v>9192</v>
      </c>
      <c r="M21" s="20">
        <f>K21*3</f>
        <v>34470</v>
      </c>
      <c r="N21" s="20">
        <f t="shared" si="6"/>
        <v>8617.5</v>
      </c>
      <c r="O21" s="47">
        <f t="shared" si="7"/>
        <v>27576</v>
      </c>
      <c r="P21" s="47">
        <f t="shared" si="8"/>
        <v>6894</v>
      </c>
      <c r="Q21" s="61">
        <f>K21*5</f>
        <v>57450</v>
      </c>
      <c r="R21" s="61">
        <f t="shared" si="9"/>
        <v>8207.1428571428569</v>
      </c>
      <c r="S21" s="47">
        <f t="shared" si="10"/>
        <v>45960</v>
      </c>
      <c r="T21" s="48">
        <f t="shared" si="11"/>
        <v>6565.7142857142853</v>
      </c>
      <c r="U21" s="72">
        <f t="shared" si="12"/>
        <v>114900</v>
      </c>
      <c r="V21" s="72">
        <f t="shared" si="13"/>
        <v>7660</v>
      </c>
      <c r="W21" s="48">
        <f t="shared" si="0"/>
        <v>91920</v>
      </c>
      <c r="X21" s="48">
        <f t="shared" si="14"/>
        <v>6128</v>
      </c>
      <c r="Y21" s="53">
        <f t="shared" si="15"/>
        <v>114900</v>
      </c>
      <c r="Z21" s="53">
        <f t="shared" si="16"/>
        <v>6383.333333333333</v>
      </c>
    </row>
    <row r="22" spans="1:26" x14ac:dyDescent="0.3">
      <c r="A22" s="15">
        <v>19</v>
      </c>
      <c r="B22" s="16" t="s">
        <v>32</v>
      </c>
      <c r="C22" s="17" t="s">
        <v>14</v>
      </c>
      <c r="D22" s="18">
        <v>9990</v>
      </c>
      <c r="E22" s="19">
        <f t="shared" si="1"/>
        <v>8991</v>
      </c>
      <c r="F22" s="19">
        <f t="shared" si="2"/>
        <v>44955</v>
      </c>
      <c r="G22" s="20">
        <f t="shared" si="3"/>
        <v>7492.5</v>
      </c>
      <c r="H22" s="19">
        <f t="shared" si="4"/>
        <v>89910</v>
      </c>
      <c r="I22" s="20">
        <f t="shared" si="5"/>
        <v>6916.1538461538457</v>
      </c>
      <c r="K22" s="21">
        <v>11490</v>
      </c>
      <c r="L22" s="19">
        <f>K22-(K22*0.2)</f>
        <v>9192</v>
      </c>
      <c r="M22" s="20">
        <f>K22*3</f>
        <v>34470</v>
      </c>
      <c r="N22" s="20">
        <f t="shared" si="6"/>
        <v>8617.5</v>
      </c>
      <c r="O22" s="47">
        <f t="shared" si="7"/>
        <v>27576</v>
      </c>
      <c r="P22" s="47">
        <f t="shared" si="8"/>
        <v>6894</v>
      </c>
      <c r="Q22" s="61">
        <f>K22*5</f>
        <v>57450</v>
      </c>
      <c r="R22" s="61">
        <f t="shared" si="9"/>
        <v>8207.1428571428569</v>
      </c>
      <c r="S22" s="47">
        <f t="shared" si="10"/>
        <v>45960</v>
      </c>
      <c r="T22" s="48">
        <f t="shared" si="11"/>
        <v>6565.7142857142853</v>
      </c>
      <c r="U22" s="72">
        <f t="shared" si="12"/>
        <v>114900</v>
      </c>
      <c r="V22" s="72">
        <f t="shared" si="13"/>
        <v>7660</v>
      </c>
      <c r="W22" s="48">
        <f t="shared" si="0"/>
        <v>91920</v>
      </c>
      <c r="X22" s="48">
        <f t="shared" si="14"/>
        <v>6128</v>
      </c>
      <c r="Y22" s="53">
        <f t="shared" si="15"/>
        <v>114900</v>
      </c>
      <c r="Z22" s="53">
        <f t="shared" si="16"/>
        <v>6383.333333333333</v>
      </c>
    </row>
    <row r="23" spans="1:26" x14ac:dyDescent="0.3">
      <c r="A23" s="15">
        <v>20</v>
      </c>
      <c r="B23" s="16" t="s">
        <v>33</v>
      </c>
      <c r="C23" s="17" t="s">
        <v>14</v>
      </c>
      <c r="D23" s="18">
        <v>9990</v>
      </c>
      <c r="E23" s="19">
        <f t="shared" si="1"/>
        <v>8991</v>
      </c>
      <c r="F23" s="19">
        <f t="shared" si="2"/>
        <v>44955</v>
      </c>
      <c r="G23" s="20">
        <f t="shared" si="3"/>
        <v>7492.5</v>
      </c>
      <c r="H23" s="19">
        <f t="shared" si="4"/>
        <v>89910</v>
      </c>
      <c r="I23" s="20">
        <f t="shared" si="5"/>
        <v>6916.1538461538457</v>
      </c>
      <c r="K23" s="21">
        <v>11490</v>
      </c>
      <c r="L23" s="19">
        <f>K23-(K23*0.2)</f>
        <v>9192</v>
      </c>
      <c r="M23" s="20">
        <f>K23*3</f>
        <v>34470</v>
      </c>
      <c r="N23" s="20">
        <f t="shared" si="6"/>
        <v>8617.5</v>
      </c>
      <c r="O23" s="47">
        <f t="shared" si="7"/>
        <v>27576</v>
      </c>
      <c r="P23" s="47">
        <f t="shared" si="8"/>
        <v>6894</v>
      </c>
      <c r="Q23" s="61">
        <f>K23*5</f>
        <v>57450</v>
      </c>
      <c r="R23" s="61">
        <f t="shared" si="9"/>
        <v>8207.1428571428569</v>
      </c>
      <c r="S23" s="47">
        <f t="shared" si="10"/>
        <v>45960</v>
      </c>
      <c r="T23" s="48">
        <f t="shared" si="11"/>
        <v>6565.7142857142853</v>
      </c>
      <c r="U23" s="72">
        <f t="shared" si="12"/>
        <v>114900</v>
      </c>
      <c r="V23" s="72">
        <f t="shared" si="13"/>
        <v>7660</v>
      </c>
      <c r="W23" s="48">
        <f t="shared" si="0"/>
        <v>91920</v>
      </c>
      <c r="X23" s="48">
        <f t="shared" si="14"/>
        <v>6128</v>
      </c>
      <c r="Y23" s="53">
        <f t="shared" si="15"/>
        <v>114900</v>
      </c>
      <c r="Z23" s="53">
        <f t="shared" si="16"/>
        <v>6383.333333333333</v>
      </c>
    </row>
    <row r="24" spans="1:26" x14ac:dyDescent="0.3">
      <c r="A24" s="15">
        <v>21</v>
      </c>
      <c r="B24" s="24" t="s">
        <v>34</v>
      </c>
      <c r="C24" s="17" t="s">
        <v>14</v>
      </c>
      <c r="D24" s="18">
        <v>13990</v>
      </c>
      <c r="E24" s="19">
        <f t="shared" si="1"/>
        <v>12591</v>
      </c>
      <c r="F24" s="19">
        <f t="shared" si="2"/>
        <v>62955</v>
      </c>
      <c r="G24" s="20">
        <f t="shared" si="3"/>
        <v>10492.5</v>
      </c>
      <c r="H24" s="19">
        <f t="shared" si="4"/>
        <v>125910</v>
      </c>
      <c r="I24" s="20">
        <f t="shared" si="5"/>
        <v>9685.3846153846152</v>
      </c>
      <c r="K24" s="21">
        <v>15990</v>
      </c>
      <c r="L24" s="19">
        <f>K24-(K24*0.2)</f>
        <v>12792</v>
      </c>
      <c r="M24" s="20">
        <f>K24*3</f>
        <v>47970</v>
      </c>
      <c r="N24" s="20">
        <f t="shared" si="6"/>
        <v>11992.5</v>
      </c>
      <c r="O24" s="47">
        <f t="shared" si="7"/>
        <v>38376</v>
      </c>
      <c r="P24" s="47">
        <f t="shared" si="8"/>
        <v>9594</v>
      </c>
      <c r="Q24" s="61">
        <f>K24*5</f>
        <v>79950</v>
      </c>
      <c r="R24" s="61">
        <f t="shared" si="9"/>
        <v>11421.428571428571</v>
      </c>
      <c r="S24" s="47">
        <f t="shared" si="10"/>
        <v>63960</v>
      </c>
      <c r="T24" s="48">
        <f t="shared" si="11"/>
        <v>9137.1428571428569</v>
      </c>
      <c r="U24" s="72">
        <f t="shared" si="12"/>
        <v>159900</v>
      </c>
      <c r="V24" s="72">
        <f t="shared" si="13"/>
        <v>10660</v>
      </c>
      <c r="W24" s="48">
        <f t="shared" si="0"/>
        <v>127920</v>
      </c>
      <c r="X24" s="48">
        <f t="shared" si="14"/>
        <v>8528</v>
      </c>
      <c r="Y24" s="53">
        <f t="shared" si="15"/>
        <v>159900</v>
      </c>
      <c r="Z24" s="53">
        <f t="shared" si="16"/>
        <v>8883.3333333333339</v>
      </c>
    </row>
    <row r="25" spans="1:26" x14ac:dyDescent="0.3">
      <c r="A25" s="15">
        <v>22</v>
      </c>
      <c r="B25" s="16" t="s">
        <v>35</v>
      </c>
      <c r="C25" s="17" t="s">
        <v>14</v>
      </c>
      <c r="D25" s="18">
        <v>13990</v>
      </c>
      <c r="E25" s="19">
        <f t="shared" si="1"/>
        <v>12591</v>
      </c>
      <c r="F25" s="19">
        <f t="shared" si="2"/>
        <v>62955</v>
      </c>
      <c r="G25" s="20">
        <f t="shared" si="3"/>
        <v>10492.5</v>
      </c>
      <c r="H25" s="19">
        <f t="shared" si="4"/>
        <v>125910</v>
      </c>
      <c r="I25" s="20">
        <f t="shared" si="5"/>
        <v>9685.3846153846152</v>
      </c>
      <c r="K25" s="21">
        <v>15990</v>
      </c>
      <c r="L25" s="19">
        <f>K25-(K25*0.2)</f>
        <v>12792</v>
      </c>
      <c r="M25" s="20">
        <f>K25*3</f>
        <v>47970</v>
      </c>
      <c r="N25" s="20">
        <f t="shared" si="6"/>
        <v>11992.5</v>
      </c>
      <c r="O25" s="47">
        <f t="shared" si="7"/>
        <v>38376</v>
      </c>
      <c r="P25" s="47">
        <f t="shared" si="8"/>
        <v>9594</v>
      </c>
      <c r="Q25" s="61">
        <f>K25*5</f>
        <v>79950</v>
      </c>
      <c r="R25" s="61">
        <f t="shared" si="9"/>
        <v>11421.428571428571</v>
      </c>
      <c r="S25" s="47">
        <f t="shared" si="10"/>
        <v>63960</v>
      </c>
      <c r="T25" s="48">
        <f t="shared" si="11"/>
        <v>9137.1428571428569</v>
      </c>
      <c r="U25" s="72">
        <f t="shared" si="12"/>
        <v>159900</v>
      </c>
      <c r="V25" s="72">
        <f t="shared" si="13"/>
        <v>10660</v>
      </c>
      <c r="W25" s="47">
        <f t="shared" si="0"/>
        <v>127920</v>
      </c>
      <c r="X25" s="48">
        <f t="shared" si="14"/>
        <v>8528</v>
      </c>
      <c r="Y25" s="53">
        <f t="shared" si="15"/>
        <v>159900</v>
      </c>
      <c r="Z25" s="53">
        <f t="shared" si="16"/>
        <v>8883.3333333333339</v>
      </c>
    </row>
    <row r="26" spans="1:26" x14ac:dyDescent="0.3">
      <c r="D26" s="11"/>
      <c r="E26" s="11"/>
      <c r="F26" s="11"/>
      <c r="G26" s="19"/>
      <c r="H26" s="19"/>
      <c r="I26" s="19"/>
      <c r="O26" s="25"/>
      <c r="P26" s="25"/>
      <c r="Q26" s="25"/>
      <c r="R26" s="25"/>
      <c r="T26" s="25"/>
      <c r="U26" s="25"/>
      <c r="V26" s="25"/>
      <c r="W26" s="25"/>
    </row>
    <row r="27" spans="1:26" x14ac:dyDescent="0.3">
      <c r="A27" s="26" t="s">
        <v>36</v>
      </c>
      <c r="B27" s="27"/>
      <c r="C27" s="27"/>
      <c r="D27" s="11"/>
      <c r="E27" s="11"/>
      <c r="F27" s="11"/>
      <c r="G27" s="19"/>
      <c r="H27" s="19"/>
      <c r="I27" s="19"/>
      <c r="O27" s="25"/>
      <c r="P27" s="25"/>
      <c r="Q27" s="25"/>
      <c r="R27" s="25"/>
      <c r="T27" s="25"/>
      <c r="U27" s="25"/>
      <c r="V27" s="25"/>
      <c r="W27" s="25"/>
    </row>
    <row r="28" spans="1:26" x14ac:dyDescent="0.3">
      <c r="A28" s="15">
        <v>1</v>
      </c>
      <c r="B28" s="24" t="s">
        <v>13</v>
      </c>
      <c r="C28" s="28" t="s">
        <v>37</v>
      </c>
      <c r="D28" s="18">
        <v>4990</v>
      </c>
      <c r="E28" s="19">
        <f t="shared" ref="E28:E38" si="17">D28-(D28*0.1)</f>
        <v>4491</v>
      </c>
      <c r="F28" s="19">
        <f t="shared" ref="F28:F38" si="18">E28*5</f>
        <v>22455</v>
      </c>
      <c r="G28" s="20">
        <f t="shared" si="3"/>
        <v>3742.5</v>
      </c>
      <c r="H28" s="19">
        <f t="shared" si="4"/>
        <v>44910</v>
      </c>
      <c r="I28" s="20">
        <f t="shared" si="5"/>
        <v>3454.6153846153848</v>
      </c>
      <c r="K28" s="21">
        <v>5550</v>
      </c>
      <c r="L28" s="19">
        <f>K28-(K28*0.2)</f>
        <v>4440</v>
      </c>
      <c r="M28" s="20">
        <f>K28*3</f>
        <v>16650</v>
      </c>
      <c r="N28" s="20">
        <f t="shared" ref="N28:N38" si="19">M28/4</f>
        <v>4162.5</v>
      </c>
      <c r="O28" s="19">
        <f t="shared" ref="O28:O38" si="20">L28*3</f>
        <v>13320</v>
      </c>
      <c r="P28" s="20">
        <f t="shared" ref="P28:P38" si="21">O28/4</f>
        <v>3330</v>
      </c>
      <c r="Q28" s="61">
        <f>K28*5</f>
        <v>27750</v>
      </c>
      <c r="R28" s="61">
        <f t="shared" ref="R28:R38" si="22">Q28/7</f>
        <v>3964.2857142857142</v>
      </c>
      <c r="S28" s="19">
        <f t="shared" ref="S28:S38" si="23">L28*5</f>
        <v>22200</v>
      </c>
      <c r="T28" s="22">
        <f t="shared" ref="T28:T38" si="24">S28/7</f>
        <v>3171.4285714285716</v>
      </c>
      <c r="U28" s="72">
        <f t="shared" ref="U28" si="25">K28*10</f>
        <v>55500</v>
      </c>
      <c r="V28" s="72">
        <f t="shared" ref="V28:V38" si="26">U28/15</f>
        <v>3700</v>
      </c>
      <c r="W28" s="19">
        <f t="shared" ref="W28:W38" si="27">L28*10</f>
        <v>44400</v>
      </c>
      <c r="X28" s="22">
        <f t="shared" ref="X28:X38" si="28">W28/15</f>
        <v>2960</v>
      </c>
      <c r="Y28" s="53">
        <f t="shared" ref="Y28" si="29">K28*10</f>
        <v>55500</v>
      </c>
      <c r="Z28" s="53">
        <f t="shared" ref="Z28:Z38" si="30">Y28/18</f>
        <v>3083.3333333333335</v>
      </c>
    </row>
    <row r="29" spans="1:26" x14ac:dyDescent="0.3">
      <c r="A29" s="15">
        <v>2</v>
      </c>
      <c r="B29" s="24" t="s">
        <v>15</v>
      </c>
      <c r="C29" s="28" t="s">
        <v>37</v>
      </c>
      <c r="D29" s="18">
        <v>4990</v>
      </c>
      <c r="E29" s="19">
        <f t="shared" si="17"/>
        <v>4491</v>
      </c>
      <c r="F29" s="19">
        <f t="shared" si="18"/>
        <v>22455</v>
      </c>
      <c r="G29" s="20">
        <f t="shared" si="3"/>
        <v>3742.5</v>
      </c>
      <c r="H29" s="19">
        <f t="shared" si="4"/>
        <v>44910</v>
      </c>
      <c r="I29" s="20">
        <f t="shared" si="5"/>
        <v>3454.6153846153848</v>
      </c>
      <c r="K29" s="21">
        <v>5550</v>
      </c>
      <c r="L29" s="19">
        <f>K29-(K29*0.2)</f>
        <v>4440</v>
      </c>
      <c r="M29" s="20">
        <f>K29*3</f>
        <v>16650</v>
      </c>
      <c r="N29" s="20">
        <f t="shared" si="19"/>
        <v>4162.5</v>
      </c>
      <c r="O29" s="19">
        <f t="shared" si="20"/>
        <v>13320</v>
      </c>
      <c r="P29" s="20">
        <f t="shared" si="21"/>
        <v>3330</v>
      </c>
      <c r="Q29" s="61">
        <f t="shared" ref="Q29:Q38" si="31">K29*5</f>
        <v>27750</v>
      </c>
      <c r="R29" s="61">
        <f t="shared" si="22"/>
        <v>3964.2857142857142</v>
      </c>
      <c r="S29" s="19">
        <f t="shared" si="23"/>
        <v>22200</v>
      </c>
      <c r="T29" s="22">
        <f t="shared" si="24"/>
        <v>3171.4285714285716</v>
      </c>
      <c r="U29" s="72">
        <f t="shared" ref="U29:U38" si="32">K29*10</f>
        <v>55500</v>
      </c>
      <c r="V29" s="72">
        <f t="shared" si="26"/>
        <v>3700</v>
      </c>
      <c r="W29" s="23">
        <f t="shared" si="27"/>
        <v>44400</v>
      </c>
      <c r="X29" s="22">
        <f t="shared" si="28"/>
        <v>2960</v>
      </c>
      <c r="Y29" s="53">
        <f t="shared" ref="Y29:Y38" si="33">K29*10</f>
        <v>55500</v>
      </c>
      <c r="Z29" s="53">
        <f t="shared" si="30"/>
        <v>3083.3333333333335</v>
      </c>
    </row>
    <row r="30" spans="1:26" x14ac:dyDescent="0.3">
      <c r="A30" s="15">
        <v>3</v>
      </c>
      <c r="B30" s="24" t="s">
        <v>16</v>
      </c>
      <c r="C30" s="28" t="s">
        <v>37</v>
      </c>
      <c r="D30" s="18">
        <v>4990</v>
      </c>
      <c r="E30" s="19">
        <f t="shared" si="17"/>
        <v>4491</v>
      </c>
      <c r="F30" s="19">
        <f t="shared" si="18"/>
        <v>22455</v>
      </c>
      <c r="G30" s="20">
        <f t="shared" si="3"/>
        <v>3742.5</v>
      </c>
      <c r="H30" s="19">
        <f t="shared" si="4"/>
        <v>44910</v>
      </c>
      <c r="I30" s="20">
        <f t="shared" si="5"/>
        <v>3454.6153846153848</v>
      </c>
      <c r="K30" s="21">
        <v>5550</v>
      </c>
      <c r="L30" s="19">
        <f>K30-(K30*0.2)</f>
        <v>4440</v>
      </c>
      <c r="M30" s="20">
        <f>K30*3</f>
        <v>16650</v>
      </c>
      <c r="N30" s="20">
        <f t="shared" si="19"/>
        <v>4162.5</v>
      </c>
      <c r="O30" s="19">
        <f t="shared" si="20"/>
        <v>13320</v>
      </c>
      <c r="P30" s="20">
        <f t="shared" si="21"/>
        <v>3330</v>
      </c>
      <c r="Q30" s="61">
        <f t="shared" si="31"/>
        <v>27750</v>
      </c>
      <c r="R30" s="61">
        <f t="shared" si="22"/>
        <v>3964.2857142857142</v>
      </c>
      <c r="S30" s="19">
        <f t="shared" si="23"/>
        <v>22200</v>
      </c>
      <c r="T30" s="22">
        <f t="shared" si="24"/>
        <v>3171.4285714285716</v>
      </c>
      <c r="U30" s="72">
        <f t="shared" si="32"/>
        <v>55500</v>
      </c>
      <c r="V30" s="72">
        <f t="shared" si="26"/>
        <v>3700</v>
      </c>
      <c r="W30" s="23">
        <f t="shared" si="27"/>
        <v>44400</v>
      </c>
      <c r="X30" s="22">
        <f t="shared" si="28"/>
        <v>2960</v>
      </c>
      <c r="Y30" s="53">
        <f t="shared" si="33"/>
        <v>55500</v>
      </c>
      <c r="Z30" s="53">
        <f t="shared" si="30"/>
        <v>3083.3333333333335</v>
      </c>
    </row>
    <row r="31" spans="1:26" x14ac:dyDescent="0.3">
      <c r="A31" s="15">
        <v>4</v>
      </c>
      <c r="B31" s="24" t="s">
        <v>18</v>
      </c>
      <c r="C31" s="28" t="s">
        <v>37</v>
      </c>
      <c r="D31" s="18">
        <v>4990</v>
      </c>
      <c r="E31" s="19">
        <f t="shared" si="17"/>
        <v>4491</v>
      </c>
      <c r="F31" s="19">
        <f t="shared" si="18"/>
        <v>22455</v>
      </c>
      <c r="G31" s="20">
        <f t="shared" si="3"/>
        <v>3742.5</v>
      </c>
      <c r="H31" s="19">
        <f t="shared" si="4"/>
        <v>44910</v>
      </c>
      <c r="I31" s="20">
        <f t="shared" si="5"/>
        <v>3454.6153846153848</v>
      </c>
      <c r="K31" s="21">
        <v>5550</v>
      </c>
      <c r="L31" s="19">
        <f>K31-(K31*0.2)</f>
        <v>4440</v>
      </c>
      <c r="M31" s="20">
        <f>K31*3</f>
        <v>16650</v>
      </c>
      <c r="N31" s="20">
        <f t="shared" si="19"/>
        <v>4162.5</v>
      </c>
      <c r="O31" s="19">
        <f t="shared" si="20"/>
        <v>13320</v>
      </c>
      <c r="P31" s="20">
        <f t="shared" si="21"/>
        <v>3330</v>
      </c>
      <c r="Q31" s="61">
        <f t="shared" si="31"/>
        <v>27750</v>
      </c>
      <c r="R31" s="61">
        <f t="shared" si="22"/>
        <v>3964.2857142857142</v>
      </c>
      <c r="S31" s="19">
        <f t="shared" si="23"/>
        <v>22200</v>
      </c>
      <c r="T31" s="22">
        <f t="shared" si="24"/>
        <v>3171.4285714285716</v>
      </c>
      <c r="U31" s="72">
        <f t="shared" si="32"/>
        <v>55500</v>
      </c>
      <c r="V31" s="72">
        <f t="shared" si="26"/>
        <v>3700</v>
      </c>
      <c r="W31" s="23">
        <f t="shared" si="27"/>
        <v>44400</v>
      </c>
      <c r="X31" s="22">
        <f t="shared" si="28"/>
        <v>2960</v>
      </c>
      <c r="Y31" s="53">
        <f t="shared" si="33"/>
        <v>55500</v>
      </c>
      <c r="Z31" s="53">
        <f t="shared" si="30"/>
        <v>3083.3333333333335</v>
      </c>
    </row>
    <row r="32" spans="1:26" x14ac:dyDescent="0.3">
      <c r="A32" s="15">
        <v>5</v>
      </c>
      <c r="B32" s="24" t="s">
        <v>24</v>
      </c>
      <c r="C32" s="28" t="s">
        <v>37</v>
      </c>
      <c r="D32" s="18">
        <v>4550</v>
      </c>
      <c r="E32" s="19">
        <f t="shared" si="17"/>
        <v>4095</v>
      </c>
      <c r="F32" s="19">
        <f t="shared" si="18"/>
        <v>20475</v>
      </c>
      <c r="G32" s="20">
        <f t="shared" si="3"/>
        <v>3412.5</v>
      </c>
      <c r="H32" s="19">
        <f t="shared" si="4"/>
        <v>40950</v>
      </c>
      <c r="I32" s="20">
        <f t="shared" si="5"/>
        <v>3150</v>
      </c>
      <c r="K32" s="21">
        <v>5250</v>
      </c>
      <c r="L32" s="19">
        <f>K32-(K32*0.2)</f>
        <v>4200</v>
      </c>
      <c r="M32" s="20">
        <f>K32*3</f>
        <v>15750</v>
      </c>
      <c r="N32" s="20">
        <f t="shared" si="19"/>
        <v>3937.5</v>
      </c>
      <c r="O32" s="19">
        <f t="shared" si="20"/>
        <v>12600</v>
      </c>
      <c r="P32" s="20">
        <f t="shared" si="21"/>
        <v>3150</v>
      </c>
      <c r="Q32" s="61">
        <f t="shared" si="31"/>
        <v>26250</v>
      </c>
      <c r="R32" s="61">
        <f t="shared" si="22"/>
        <v>3750</v>
      </c>
      <c r="S32" s="19">
        <f t="shared" si="23"/>
        <v>21000</v>
      </c>
      <c r="T32" s="22">
        <f t="shared" si="24"/>
        <v>3000</v>
      </c>
      <c r="U32" s="72">
        <f t="shared" si="32"/>
        <v>52500</v>
      </c>
      <c r="V32" s="72">
        <f t="shared" si="26"/>
        <v>3500</v>
      </c>
      <c r="W32" s="23">
        <f t="shared" si="27"/>
        <v>42000</v>
      </c>
      <c r="X32" s="22">
        <f t="shared" si="28"/>
        <v>2800</v>
      </c>
      <c r="Y32" s="53">
        <f t="shared" si="33"/>
        <v>52500</v>
      </c>
      <c r="Z32" s="53">
        <f t="shared" si="30"/>
        <v>2916.6666666666665</v>
      </c>
    </row>
    <row r="33" spans="1:26" x14ac:dyDescent="0.3">
      <c r="A33" s="15">
        <v>6</v>
      </c>
      <c r="B33" s="24" t="s">
        <v>25</v>
      </c>
      <c r="C33" s="28" t="s">
        <v>37</v>
      </c>
      <c r="D33" s="18">
        <v>4550</v>
      </c>
      <c r="E33" s="19">
        <f t="shared" si="17"/>
        <v>4095</v>
      </c>
      <c r="F33" s="19">
        <f t="shared" si="18"/>
        <v>20475</v>
      </c>
      <c r="G33" s="20">
        <f t="shared" si="3"/>
        <v>3412.5</v>
      </c>
      <c r="H33" s="19">
        <f t="shared" si="4"/>
        <v>40950</v>
      </c>
      <c r="I33" s="20">
        <f t="shared" si="5"/>
        <v>3150</v>
      </c>
      <c r="K33" s="21">
        <v>5250</v>
      </c>
      <c r="L33" s="19">
        <f>K33-(K33*0.2)</f>
        <v>4200</v>
      </c>
      <c r="M33" s="20">
        <f>K33*3</f>
        <v>15750</v>
      </c>
      <c r="N33" s="20">
        <f t="shared" si="19"/>
        <v>3937.5</v>
      </c>
      <c r="O33" s="19">
        <f t="shared" si="20"/>
        <v>12600</v>
      </c>
      <c r="P33" s="20">
        <f t="shared" si="21"/>
        <v>3150</v>
      </c>
      <c r="Q33" s="61">
        <f t="shared" si="31"/>
        <v>26250</v>
      </c>
      <c r="R33" s="61">
        <f t="shared" si="22"/>
        <v>3750</v>
      </c>
      <c r="S33" s="19">
        <f t="shared" si="23"/>
        <v>21000</v>
      </c>
      <c r="T33" s="22">
        <f t="shared" si="24"/>
        <v>3000</v>
      </c>
      <c r="U33" s="72">
        <f t="shared" si="32"/>
        <v>52500</v>
      </c>
      <c r="V33" s="72">
        <f t="shared" si="26"/>
        <v>3500</v>
      </c>
      <c r="W33" s="23">
        <f t="shared" si="27"/>
        <v>42000</v>
      </c>
      <c r="X33" s="22">
        <f t="shared" si="28"/>
        <v>2800</v>
      </c>
      <c r="Y33" s="53">
        <f t="shared" si="33"/>
        <v>52500</v>
      </c>
      <c r="Z33" s="53">
        <f t="shared" si="30"/>
        <v>2916.6666666666665</v>
      </c>
    </row>
    <row r="34" spans="1:26" x14ac:dyDescent="0.3">
      <c r="A34" s="15">
        <v>7</v>
      </c>
      <c r="B34" s="24" t="s">
        <v>27</v>
      </c>
      <c r="C34" s="28" t="s">
        <v>37</v>
      </c>
      <c r="D34" s="18">
        <v>4550</v>
      </c>
      <c r="E34" s="19">
        <f t="shared" si="17"/>
        <v>4095</v>
      </c>
      <c r="F34" s="19">
        <f t="shared" si="18"/>
        <v>20475</v>
      </c>
      <c r="G34" s="20">
        <f t="shared" si="3"/>
        <v>3412.5</v>
      </c>
      <c r="H34" s="19">
        <f t="shared" si="4"/>
        <v>40950</v>
      </c>
      <c r="I34" s="20">
        <f t="shared" si="5"/>
        <v>3150</v>
      </c>
      <c r="K34" s="21">
        <v>5250</v>
      </c>
      <c r="L34" s="19">
        <f>K34-(K34*0.2)</f>
        <v>4200</v>
      </c>
      <c r="M34" s="20">
        <f>K34*3</f>
        <v>15750</v>
      </c>
      <c r="N34" s="20">
        <f t="shared" si="19"/>
        <v>3937.5</v>
      </c>
      <c r="O34" s="19">
        <f t="shared" si="20"/>
        <v>12600</v>
      </c>
      <c r="P34" s="20">
        <f t="shared" si="21"/>
        <v>3150</v>
      </c>
      <c r="Q34" s="61">
        <f t="shared" si="31"/>
        <v>26250</v>
      </c>
      <c r="R34" s="61">
        <f t="shared" si="22"/>
        <v>3750</v>
      </c>
      <c r="S34" s="19">
        <f t="shared" si="23"/>
        <v>21000</v>
      </c>
      <c r="T34" s="22">
        <f t="shared" si="24"/>
        <v>3000</v>
      </c>
      <c r="U34" s="72">
        <f t="shared" si="32"/>
        <v>52500</v>
      </c>
      <c r="V34" s="72">
        <f t="shared" si="26"/>
        <v>3500</v>
      </c>
      <c r="W34" s="23">
        <f t="shared" si="27"/>
        <v>42000</v>
      </c>
      <c r="X34" s="22">
        <f t="shared" si="28"/>
        <v>2800</v>
      </c>
      <c r="Y34" s="53">
        <f t="shared" si="33"/>
        <v>52500</v>
      </c>
      <c r="Z34" s="53">
        <f t="shared" si="30"/>
        <v>2916.6666666666665</v>
      </c>
    </row>
    <row r="35" spans="1:26" x14ac:dyDescent="0.3">
      <c r="A35" s="15">
        <v>8</v>
      </c>
      <c r="B35" s="24" t="s">
        <v>28</v>
      </c>
      <c r="C35" s="28" t="s">
        <v>37</v>
      </c>
      <c r="D35" s="18">
        <v>4990</v>
      </c>
      <c r="E35" s="19">
        <f t="shared" si="17"/>
        <v>4491</v>
      </c>
      <c r="F35" s="19">
        <f t="shared" si="18"/>
        <v>22455</v>
      </c>
      <c r="G35" s="20">
        <f t="shared" si="3"/>
        <v>3742.5</v>
      </c>
      <c r="H35" s="19">
        <f t="shared" si="4"/>
        <v>44910</v>
      </c>
      <c r="I35" s="20">
        <f t="shared" si="5"/>
        <v>3454.6153846153848</v>
      </c>
      <c r="K35" s="21">
        <v>5550</v>
      </c>
      <c r="L35" s="19">
        <f>K35-(K35*0.2)</f>
        <v>4440</v>
      </c>
      <c r="M35" s="20">
        <f>K35*3</f>
        <v>16650</v>
      </c>
      <c r="N35" s="20">
        <f t="shared" si="19"/>
        <v>4162.5</v>
      </c>
      <c r="O35" s="19">
        <f t="shared" si="20"/>
        <v>13320</v>
      </c>
      <c r="P35" s="20">
        <f t="shared" si="21"/>
        <v>3330</v>
      </c>
      <c r="Q35" s="61">
        <f t="shared" si="31"/>
        <v>27750</v>
      </c>
      <c r="R35" s="61">
        <f t="shared" si="22"/>
        <v>3964.2857142857142</v>
      </c>
      <c r="S35" s="19">
        <f t="shared" si="23"/>
        <v>22200</v>
      </c>
      <c r="T35" s="22">
        <f t="shared" si="24"/>
        <v>3171.4285714285716</v>
      </c>
      <c r="U35" s="72">
        <f t="shared" si="32"/>
        <v>55500</v>
      </c>
      <c r="V35" s="72">
        <f t="shared" si="26"/>
        <v>3700</v>
      </c>
      <c r="W35" s="23">
        <f t="shared" si="27"/>
        <v>44400</v>
      </c>
      <c r="X35" s="22">
        <f t="shared" si="28"/>
        <v>2960</v>
      </c>
      <c r="Y35" s="53">
        <f t="shared" si="33"/>
        <v>55500</v>
      </c>
      <c r="Z35" s="53">
        <f t="shared" si="30"/>
        <v>3083.3333333333335</v>
      </c>
    </row>
    <row r="36" spans="1:26" x14ac:dyDescent="0.3">
      <c r="A36" s="15">
        <v>9</v>
      </c>
      <c r="B36" s="24" t="s">
        <v>38</v>
      </c>
      <c r="C36" s="28" t="s">
        <v>37</v>
      </c>
      <c r="D36" s="18">
        <v>4550</v>
      </c>
      <c r="E36" s="19">
        <f t="shared" si="17"/>
        <v>4095</v>
      </c>
      <c r="F36" s="19">
        <f t="shared" si="18"/>
        <v>20475</v>
      </c>
      <c r="G36" s="20">
        <f t="shared" si="3"/>
        <v>3412.5</v>
      </c>
      <c r="H36" s="19">
        <f t="shared" si="4"/>
        <v>40950</v>
      </c>
      <c r="I36" s="20">
        <f t="shared" si="5"/>
        <v>3150</v>
      </c>
      <c r="K36" s="21">
        <v>5250</v>
      </c>
      <c r="L36" s="19">
        <f>K36-(K36*0.2)</f>
        <v>4200</v>
      </c>
      <c r="M36" s="20">
        <f>K36*3</f>
        <v>15750</v>
      </c>
      <c r="N36" s="20">
        <f t="shared" si="19"/>
        <v>3937.5</v>
      </c>
      <c r="O36" s="19">
        <f t="shared" si="20"/>
        <v>12600</v>
      </c>
      <c r="P36" s="20">
        <f t="shared" si="21"/>
        <v>3150</v>
      </c>
      <c r="Q36" s="61">
        <f t="shared" si="31"/>
        <v>26250</v>
      </c>
      <c r="R36" s="61">
        <f t="shared" si="22"/>
        <v>3750</v>
      </c>
      <c r="S36" s="19">
        <f t="shared" si="23"/>
        <v>21000</v>
      </c>
      <c r="T36" s="22">
        <f t="shared" si="24"/>
        <v>3000</v>
      </c>
      <c r="U36" s="72">
        <f t="shared" si="32"/>
        <v>52500</v>
      </c>
      <c r="V36" s="72">
        <f t="shared" si="26"/>
        <v>3500</v>
      </c>
      <c r="W36" s="23">
        <f t="shared" si="27"/>
        <v>42000</v>
      </c>
      <c r="X36" s="22">
        <f t="shared" si="28"/>
        <v>2800</v>
      </c>
      <c r="Y36" s="53">
        <f t="shared" si="33"/>
        <v>52500</v>
      </c>
      <c r="Z36" s="53">
        <f t="shared" si="30"/>
        <v>2916.6666666666665</v>
      </c>
    </row>
    <row r="37" spans="1:26" x14ac:dyDescent="0.3">
      <c r="A37" s="15">
        <v>10</v>
      </c>
      <c r="B37" s="24" t="s">
        <v>30</v>
      </c>
      <c r="C37" s="28" t="s">
        <v>37</v>
      </c>
      <c r="D37" s="18">
        <v>4550</v>
      </c>
      <c r="E37" s="19">
        <f t="shared" si="17"/>
        <v>4095</v>
      </c>
      <c r="F37" s="19">
        <f t="shared" si="18"/>
        <v>20475</v>
      </c>
      <c r="G37" s="20">
        <f t="shared" si="3"/>
        <v>3412.5</v>
      </c>
      <c r="H37" s="19">
        <f t="shared" si="4"/>
        <v>40950</v>
      </c>
      <c r="I37" s="20">
        <f t="shared" si="5"/>
        <v>3150</v>
      </c>
      <c r="K37" s="21">
        <v>5250</v>
      </c>
      <c r="L37" s="19">
        <f>K37-(K37*0.2)</f>
        <v>4200</v>
      </c>
      <c r="M37" s="20">
        <f>K37*3</f>
        <v>15750</v>
      </c>
      <c r="N37" s="20">
        <f t="shared" si="19"/>
        <v>3937.5</v>
      </c>
      <c r="O37" s="19">
        <f t="shared" si="20"/>
        <v>12600</v>
      </c>
      <c r="P37" s="20">
        <f t="shared" si="21"/>
        <v>3150</v>
      </c>
      <c r="Q37" s="61">
        <f t="shared" si="31"/>
        <v>26250</v>
      </c>
      <c r="R37" s="61">
        <f t="shared" si="22"/>
        <v>3750</v>
      </c>
      <c r="S37" s="19">
        <f t="shared" si="23"/>
        <v>21000</v>
      </c>
      <c r="T37" s="22">
        <f t="shared" si="24"/>
        <v>3000</v>
      </c>
      <c r="U37" s="72">
        <f t="shared" si="32"/>
        <v>52500</v>
      </c>
      <c r="V37" s="72">
        <f t="shared" si="26"/>
        <v>3500</v>
      </c>
      <c r="W37" s="23">
        <f t="shared" si="27"/>
        <v>42000</v>
      </c>
      <c r="X37" s="22">
        <f t="shared" si="28"/>
        <v>2800</v>
      </c>
      <c r="Y37" s="53">
        <f t="shared" si="33"/>
        <v>52500</v>
      </c>
      <c r="Z37" s="53">
        <f t="shared" si="30"/>
        <v>2916.6666666666665</v>
      </c>
    </row>
    <row r="38" spans="1:26" ht="15" thickBot="1" x14ac:dyDescent="0.35">
      <c r="A38" s="15">
        <v>11</v>
      </c>
      <c r="B38" s="24" t="s">
        <v>31</v>
      </c>
      <c r="C38" s="28" t="s">
        <v>37</v>
      </c>
      <c r="D38" s="18">
        <v>4990</v>
      </c>
      <c r="E38" s="19">
        <f t="shared" si="17"/>
        <v>4491</v>
      </c>
      <c r="F38" s="19">
        <f t="shared" si="18"/>
        <v>22455</v>
      </c>
      <c r="G38" s="20">
        <f t="shared" si="3"/>
        <v>3742.5</v>
      </c>
      <c r="H38" s="19">
        <f t="shared" si="4"/>
        <v>44910</v>
      </c>
      <c r="I38" s="20">
        <f t="shared" si="5"/>
        <v>3454.6153846153848</v>
      </c>
      <c r="K38" s="21">
        <v>5550</v>
      </c>
      <c r="L38" s="19">
        <f>K38-(K38*0.2)</f>
        <v>4440</v>
      </c>
      <c r="M38" s="20">
        <f>K38*3</f>
        <v>16650</v>
      </c>
      <c r="N38" s="20">
        <f t="shared" si="19"/>
        <v>4162.5</v>
      </c>
      <c r="O38" s="19">
        <f t="shared" si="20"/>
        <v>13320</v>
      </c>
      <c r="P38" s="20">
        <f t="shared" si="21"/>
        <v>3330</v>
      </c>
      <c r="Q38" s="61">
        <f t="shared" si="31"/>
        <v>27750</v>
      </c>
      <c r="R38" s="61">
        <f t="shared" si="22"/>
        <v>3964.2857142857142</v>
      </c>
      <c r="S38" s="29">
        <f t="shared" si="23"/>
        <v>22200</v>
      </c>
      <c r="T38" s="22">
        <f t="shared" si="24"/>
        <v>3171.4285714285716</v>
      </c>
      <c r="U38" s="72">
        <f t="shared" si="32"/>
        <v>55500</v>
      </c>
      <c r="V38" s="72">
        <f t="shared" si="26"/>
        <v>3700</v>
      </c>
      <c r="W38" s="23">
        <f t="shared" si="27"/>
        <v>44400</v>
      </c>
      <c r="X38" s="22">
        <f t="shared" si="28"/>
        <v>2960</v>
      </c>
      <c r="Y38" s="53">
        <f t="shared" si="33"/>
        <v>55500</v>
      </c>
      <c r="Z38" s="53">
        <f t="shared" si="30"/>
        <v>3083.3333333333335</v>
      </c>
    </row>
    <row r="39" spans="1:26" x14ac:dyDescent="0.3">
      <c r="A39" s="30"/>
      <c r="B39" s="31"/>
      <c r="C39" s="32"/>
      <c r="D39" s="33"/>
    </row>
    <row r="40" spans="1:26" x14ac:dyDescent="0.3">
      <c r="A40" s="34" t="s">
        <v>39</v>
      </c>
      <c r="B40" s="35"/>
      <c r="C40" s="35"/>
      <c r="D40" s="36"/>
    </row>
    <row r="41" spans="1:26" x14ac:dyDescent="0.3">
      <c r="A41" s="15">
        <v>1</v>
      </c>
      <c r="B41" s="37" t="s">
        <v>40</v>
      </c>
      <c r="C41" s="37" t="s">
        <v>41</v>
      </c>
      <c r="D41" s="18">
        <v>14950</v>
      </c>
    </row>
  </sheetData>
  <mergeCells count="2">
    <mergeCell ref="D1:I1"/>
    <mergeCell ref="K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Salon Market</vt:lpstr>
      <vt:lpstr>Doctor 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Kadam</dc:creator>
  <cp:lastModifiedBy>Suryakant Kadam</cp:lastModifiedBy>
  <dcterms:created xsi:type="dcterms:W3CDTF">2026-06-25T21:34:01Z</dcterms:created>
  <dcterms:modified xsi:type="dcterms:W3CDTF">2026-07-16T10:21:31Z</dcterms:modified>
</cp:coreProperties>
</file>