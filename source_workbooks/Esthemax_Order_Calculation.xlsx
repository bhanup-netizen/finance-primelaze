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 Summary" sheetId="1" r:id="rId5"/>
    <sheet state="hidden" name="Order Calculation" sheetId="2" r:id="rId6"/>
  </sheets>
  <definedNames>
    <definedName hidden="1" localSheetId="1" name="_xlnm._FilterDatabase">'Order Calculation'!$A$2:$AA$52</definedName>
  </definedNames>
  <calcPr/>
</workbook>
</file>

<file path=xl/sharedStrings.xml><?xml version="1.0" encoding="utf-8"?>
<sst xmlns="http://schemas.openxmlformats.org/spreadsheetml/2006/main" count="199" uniqueCount="103">
  <si>
    <t>ESTHEMAX — ORDER SUMMARY (with monthly sales)</t>
  </si>
  <si>
    <t>Monthly sales (Apr-25 to Jun-26) | Required = 6-mo avg x (3 derma + 1.5 salon) | Landing = EXW + Customs 44% + Transport</t>
  </si>
  <si>
    <t>Derma months</t>
  </si>
  <si>
    <t>USD to INR</t>
  </si>
  <si>
    <t>Salon months</t>
  </si>
  <si>
    <t>Customs rate</t>
  </si>
  <si>
    <t>Item</t>
  </si>
  <si>
    <t>Category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</si>
  <si>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</si>
  <si>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</si>
  <si>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</si>
  <si>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</si>
  <si>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</si>
  <si>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</si>
  <si>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</si>
  <si>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</si>
  <si>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</si>
  <si>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</si>
  <si>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</si>
  <si>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</si>
  <si>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</si>
  <si>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</si>
  <si>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</si>
  <si>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6-Mo Avg</t>
  </si>
  <si>
    <t>Derma Req
(x3)</t>
  </si>
  <si>
    <t>Salon Req
(x1.5)</t>
  </si>
  <si>
    <t>Required
Stock</t>
  </si>
  <si>
    <t>Current
Stock</t>
  </si>
  <si>
    <t>To Buy</t>
  </si>
  <si>
    <t>Unit $
USD</t>
  </si>
  <si>
    <t>EXW
INR</t>
  </si>
  <si>
    <t>Customs
44%</t>
  </si>
  <si>
    <t>Transport</t>
  </si>
  <si>
    <t>Landing
/Unit</t>
  </si>
  <si>
    <t>Money
Required</t>
  </si>
  <si>
    <t>ILLUMINATING ORANGE HYDROJELLY MASK 850gm</t>
  </si>
  <si>
    <t>EGYPTIAN ROSE HYDROJELLY MASK 850gm</t>
  </si>
  <si>
    <t>YOUTHFUL ELIXIR HYDROJELLY MASK 850gm</t>
  </si>
  <si>
    <t>INTENSIVE AFTERCARE HYDROJELLY MASK 850gm</t>
  </si>
  <si>
    <t>BELGIUM CACAO HYDROJELLY MASK 850gm</t>
  </si>
  <si>
    <t>BRIGHTENING COMPLEX HYDROJELLY MASK 850gm</t>
  </si>
  <si>
    <t>RETAIL INTENSIVE AFTERCARE HYDROJELLY MASK 2masks/Box</t>
  </si>
  <si>
    <t>Measuring Cup</t>
  </si>
  <si>
    <t>WHITE MIXING BOWL</t>
  </si>
  <si>
    <t>RETAIL EGYPTIAN ROSE HYDROJELLY MASK 2masks/Box</t>
  </si>
  <si>
    <t>Silicone Brush</t>
  </si>
  <si>
    <t>RETAIL ANTIOXIDANT GOJI HYDROJELLY MASK 2masks/Box</t>
  </si>
  <si>
    <t>RETAIL ILLUMINATING ORANGE HYDROJELLY MASK 2masks/Box</t>
  </si>
  <si>
    <t>RETAIL BRIGHTENING COMPLEX HYDROJELLY MASK 2masks/Box</t>
  </si>
  <si>
    <t>SPATULA WHITE</t>
  </si>
  <si>
    <t>PHYTO-NUTRIENTS BLAST HYDROJELLY MASK 850gm</t>
  </si>
  <si>
    <t>ANTIOXIDANT GOJI HYDROJELLY MASK 850gm</t>
  </si>
  <si>
    <t>Rose Quartz Eye Mask</t>
  </si>
  <si>
    <t>CBD DOPE HYDROJELLY MASK 850gm</t>
  </si>
  <si>
    <t>SUPER GREENS STRENGTH HYDROJELLY MASK 850gm</t>
  </si>
  <si>
    <t>RADIANCE BIOTIN HYDROJELLY MASK 850gm</t>
  </si>
  <si>
    <t>AUSTRALIAN SHEEP PLACENTA HYDROJELLY MASK 850ml</t>
  </si>
  <si>
    <t>BETA-CAROTENE HYDROJELLY MASK 850gm</t>
  </si>
  <si>
    <t>GOLD MIXING BOWL</t>
  </si>
  <si>
    <t>RETAIL PHYTO NUTRIENTS HYDROJELLY MASK 2masks/Box</t>
  </si>
  <si>
    <t>ROLLING CRYO WHITE GLOBES</t>
  </si>
  <si>
    <t>HYALURONIC ACID HYDROJELLY MASK 850gm</t>
  </si>
  <si>
    <t>CICA COMPLEX HYDROJELLY MASK 850gm</t>
  </si>
  <si>
    <t>RETAIL SKIN WARRIOR AGELESS HYDROJELLY MASK 2masks/Box</t>
  </si>
  <si>
    <t>PURE HIMALAYAN WHITE TEA HYDROJELLY MASK 850gm</t>
  </si>
  <si>
    <t>RETAIL SUPER GREENS STRENGTH HYDROJELLY MASK 2masks/Box</t>
  </si>
  <si>
    <t>ROLLING CRYO PINK GLOBES</t>
  </si>
  <si>
    <t>VAMPIRE INFUSION HYDROJELLY MASK 850gm</t>
  </si>
  <si>
    <t>RETAIL CICA COMPLEX HYDROJELLY MASK 2masks/Box</t>
  </si>
  <si>
    <t>PURIFYING CHARCOAL HYDROJELLY MASK 850gm</t>
  </si>
  <si>
    <t>RESILIANCE CAVIAR HYDROJELLY MASK 850ml</t>
  </si>
  <si>
    <t>NEON GREEN MIXING BOWL</t>
  </si>
  <si>
    <t>SKIN WARRIOR AGELESS HYDROJELLY MASK 850gm</t>
  </si>
  <si>
    <t>RE-NEWAL HYDROJELLY MASK 850gm</t>
  </si>
  <si>
    <t>HOT PINK MIXING BOWL</t>
  </si>
  <si>
    <t>Natural Sponge</t>
  </si>
  <si>
    <t>RETAIL PURIFYING CHARCOAL HYDROJELLY MASK 2masks/Box</t>
  </si>
  <si>
    <t>Rose Quartz Full Face Mask</t>
  </si>
  <si>
    <t>SPOT DIMINISHING ALA HYDROJELLY MASK 850gm</t>
  </si>
  <si>
    <t>SPATULA GOLD</t>
  </si>
  <si>
    <t>RETAIL HYALURONIC ACID HYDROJELLY MASK 2masks/Box</t>
  </si>
  <si>
    <t>SPATULA NEON GREEN</t>
  </si>
  <si>
    <t>SPATULA HOT PINK</t>
  </si>
  <si>
    <t>Small Spatula (Plastic)</t>
  </si>
  <si>
    <t>Sample BAGS</t>
  </si>
  <si>
    <t>TOTAL</t>
  </si>
  <si>
    <t>Total</t>
  </si>
  <si>
    <t>Esthemax Product</t>
  </si>
  <si>
    <t>Catagaory</t>
  </si>
  <si>
    <t xml:space="preserve">ESTIMATE 3 MONTH STOCK REQUIRED FOR SALON AND SPA </t>
  </si>
  <si>
    <t>Internal use</t>
  </si>
  <si>
    <t>Last 15 month Average</t>
  </si>
  <si>
    <t>Last 12 month Average</t>
  </si>
  <si>
    <t>last 6 month sum</t>
  </si>
  <si>
    <t>Last 3 Monthly Average</t>
  </si>
  <si>
    <t>3 month order</t>
  </si>
  <si>
    <t>Current stock</t>
  </si>
  <si>
    <t>Diffrence</t>
  </si>
  <si>
    <t>Orde</t>
  </si>
  <si>
    <t>JAR</t>
  </si>
  <si>
    <t>SAMPLE</t>
  </si>
  <si>
    <t>Accessory</t>
  </si>
  <si>
    <t>RETAIL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</si>
</sst>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\$#,##0.00"/>
    <numFmt numFmtId="166" formatCode="mmm\-yy"/>
  </numFmts>
  <fonts count="18">
    <font>
      <sz val="10.0"/>
      <color rgb="FF000000"/>
      <name val="Arial"/>
      <scheme val="minor"/>
    </font>
    <font>
      <sz val="10.0"/>
      <color rgb="FF000000"/>
      <name val="Arial"/>
    </font>
    <font>
      <b/>
      <sz val="16.0"/>
      <color rgb="FF2F5496"/>
      <name val="Arial"/>
    </font>
    <font>
      <sz val="9.0"/>
      <color rgb="FF808080"/>
      <name val="Arial"/>
    </font>
    <font>
      <sz val="9.0"/>
      <color theme="1"/>
      <name val="Arial"/>
    </font>
    <font>
      <sz val="9.0"/>
      <color rgb="FF0000FF"/>
      <name val="Arial"/>
    </font>
    <font>
      <b/>
      <sz val="8.0"/>
      <color rgb="FFFFFFFF"/>
      <name val="Arial"/>
    </font>
    <font>
      <sz val="8.0"/>
      <color theme="1"/>
      <name val="Arial"/>
    </font>
    <font>
      <b/>
      <sz val="9.0"/>
      <color theme="1"/>
      <name val="Arial"/>
    </font>
    <font>
      <b/>
      <sz val="9.0"/>
      <color rgb="FF7030A0"/>
      <name val="Arial"/>
    </font>
    <font>
      <b/>
      <sz val="10.0"/>
      <color theme="1"/>
      <name val="Arial"/>
    </font>
    <font>
      <b/>
      <sz val="11.0"/>
      <color rgb="FFC00000"/>
      <name val="Arial"/>
    </font>
    <font>
      <b/>
      <sz val="9.0"/>
      <color rgb="FF000000"/>
      <name val="&quot;Aptos Narrow&quot;"/>
    </font>
    <font>
      <b/>
      <sz val="9.0"/>
      <color rgb="FF000000"/>
      <name val="Arial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0000FF"/>
      <name val="Arial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2F5496"/>
        <bgColor rgb="FF2F5496"/>
      </patternFill>
    </fill>
    <fill>
      <patternFill patternType="solid">
        <fgColor rgb="FF548235"/>
        <bgColor rgb="FF548235"/>
      </patternFill>
    </fill>
    <fill>
      <patternFill patternType="solid">
        <fgColor rgb="FFE4DFEC"/>
        <bgColor rgb="FFE4DFEC"/>
      </patternFill>
    </fill>
    <fill>
      <patternFill patternType="solid">
        <fgColor rgb="FFFCE4D6"/>
        <bgColor rgb="FFFCE4D6"/>
      </patternFill>
    </fill>
    <fill>
      <patternFill patternType="solid">
        <fgColor rgb="FF83CCEB"/>
        <bgColor rgb="FF83CCEB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164" xfId="0" applyAlignment="1" applyBorder="1" applyFill="1" applyFont="1" applyNumberForma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2" fontId="5" numFmtId="9" xfId="0" applyAlignment="1" applyBorder="1" applyFont="1" applyNumberFormat="1">
      <alignment horizontal="center" shrinkToFit="0" vertical="center" wrapText="1"/>
    </xf>
    <xf borderId="2" fillId="3" fontId="6" numFmtId="0" xfId="0" applyAlignment="1" applyBorder="1" applyFill="1" applyFont="1">
      <alignment horizontal="center" shrinkToFit="0" vertical="center" wrapText="1"/>
    </xf>
    <xf borderId="2" fillId="4" fontId="6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horizontal="left" shrinkToFit="0" vertical="center" wrapText="0"/>
    </xf>
    <xf borderId="2" fillId="0" fontId="4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2" fillId="0" fontId="1" numFmtId="164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4" numFmtId="165" xfId="0" applyAlignment="1" applyBorder="1" applyFont="1" applyNumberFormat="1">
      <alignment horizontal="center" shrinkToFit="0" vertical="center" wrapText="1"/>
    </xf>
    <xf borderId="2" fillId="0" fontId="1" numFmtId="3" xfId="0" applyAlignment="1" applyBorder="1" applyFont="1" applyNumberFormat="1">
      <alignment horizontal="center" shrinkToFit="0" vertical="center" wrapText="1"/>
    </xf>
    <xf borderId="2" fillId="0" fontId="5" numFmtId="4" xfId="0" applyAlignment="1" applyBorder="1" applyFont="1" applyNumberFormat="1">
      <alignment horizontal="center" shrinkToFit="0" vertical="center" wrapText="1"/>
    </xf>
    <xf borderId="2" fillId="0" fontId="8" numFmtId="3" xfId="0" applyAlignment="1" applyBorder="1" applyFont="1" applyNumberFormat="1">
      <alignment horizontal="center" shrinkToFit="0" vertical="center" wrapText="1"/>
    </xf>
    <xf borderId="2" fillId="5" fontId="9" numFmtId="0" xfId="0" applyAlignment="1" applyBorder="1" applyFill="1" applyFont="1">
      <alignment horizontal="center" shrinkToFit="0" vertical="center" wrapText="1"/>
    </xf>
    <xf borderId="2" fillId="2" fontId="5" numFmtId="165" xfId="0" applyAlignment="1" applyBorder="1" applyFont="1" applyNumberFormat="1">
      <alignment horizontal="center" shrinkToFit="0" vertical="center" wrapText="1"/>
    </xf>
    <xf borderId="2" fillId="0" fontId="10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2" fillId="6" fontId="11" numFmtId="3" xfId="0" applyAlignment="1" applyBorder="1" applyFill="1" applyFont="1" applyNumberFormat="1">
      <alignment horizontal="center" shrinkToFit="0" vertical="center" wrapText="1"/>
    </xf>
    <xf borderId="1" fillId="7" fontId="12" numFmtId="0" xfId="0" applyAlignment="1" applyBorder="1" applyFill="1" applyFont="1">
      <alignment horizontal="left" shrinkToFit="0" vertical="center" wrapText="1"/>
    </xf>
    <xf borderId="1" fillId="7" fontId="12" numFmtId="0" xfId="0" applyAlignment="1" applyBorder="1" applyFont="1">
      <alignment horizontal="left" shrinkToFit="0" vertical="center" wrapText="0"/>
    </xf>
    <xf borderId="1" fillId="7" fontId="13" numFmtId="0" xfId="0" applyAlignment="1" applyBorder="1" applyFont="1">
      <alignment horizontal="left" shrinkToFit="0" vertical="center" wrapText="0"/>
    </xf>
    <xf borderId="1" fillId="8" fontId="12" numFmtId="0" xfId="0" applyAlignment="1" applyBorder="1" applyFill="1" applyFont="1">
      <alignment horizontal="left" shrinkToFit="0" vertical="center" wrapText="0"/>
    </xf>
    <xf borderId="1" fillId="9" fontId="12" numFmtId="0" xfId="0" applyAlignment="1" applyBorder="1" applyFill="1" applyFont="1">
      <alignment horizontal="left" shrinkToFit="0" vertical="center" wrapText="0"/>
    </xf>
    <xf borderId="2" fillId="3" fontId="14" numFmtId="0" xfId="0" applyAlignment="1" applyBorder="1" applyFont="1">
      <alignment horizontal="center" shrinkToFit="0" vertical="center" wrapText="1"/>
    </xf>
    <xf borderId="2" fillId="3" fontId="14" numFmtId="166" xfId="0" applyAlignment="1" applyBorder="1" applyFont="1" applyNumberFormat="1">
      <alignment horizontal="center" shrinkToFit="0" vertical="center" wrapText="1"/>
    </xf>
    <xf borderId="2" fillId="0" fontId="15" numFmtId="0" xfId="0" applyAlignment="1" applyBorder="1" applyFont="1">
      <alignment horizontal="left" shrinkToFit="0" vertical="bottom" wrapText="1"/>
    </xf>
    <xf borderId="2" fillId="0" fontId="15" numFmtId="0" xfId="0" applyAlignment="1" applyBorder="1" applyFont="1">
      <alignment horizontal="center" shrinkToFit="0" vertical="center" wrapText="1"/>
    </xf>
    <xf borderId="2" fillId="8" fontId="16" numFmtId="0" xfId="0" applyAlignment="1" applyBorder="1" applyFont="1">
      <alignment horizontal="center" shrinkToFit="0" vertical="center" wrapText="1"/>
    </xf>
    <xf borderId="2" fillId="9" fontId="16" numFmtId="0" xfId="0" applyAlignment="1" applyBorder="1" applyFont="1">
      <alignment horizontal="center" shrinkToFit="0" vertical="center" wrapText="1"/>
    </xf>
    <xf borderId="2" fillId="0" fontId="1" numFmtId="1" xfId="0" applyAlignment="1" applyBorder="1" applyFont="1" applyNumberFormat="1">
      <alignment horizontal="center" shrinkToFit="0" vertical="center" wrapText="1"/>
    </xf>
    <xf borderId="2" fillId="9" fontId="15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shrinkToFit="0" vertical="bottom" wrapText="1"/>
    </xf>
    <xf borderId="1" fillId="8" fontId="17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9.0" topLeftCell="D10" activePane="bottomRight" state="frozen"/>
      <selection activeCell="D1" sqref="D1" pane="topRight"/>
      <selection activeCell="A10" sqref="A10" pane="bottomLeft"/>
      <selection activeCell="D10" sqref="D10" pane="bottomRight"/>
    </sheetView>
  </sheetViews>
  <sheetFormatPr customHeight="1" defaultColWidth="12.63" defaultRowHeight="15.0"/>
  <cols>
    <col customWidth="1" min="1" max="1" width="8.63"/>
    <col customWidth="1" min="2" max="2" width="40.0"/>
    <col customWidth="1" min="3" max="3" width="10.0"/>
    <col customWidth="1" min="4" max="18" width="6.0"/>
    <col customWidth="1" min="19" max="23" width="8.0"/>
    <col customWidth="1" min="24" max="24" width="7.0"/>
    <col customWidth="1" min="25" max="27" width="8.0"/>
    <col customWidth="1" min="28" max="29" width="9.0"/>
    <col customWidth="1" min="30" max="30" width="12.0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9.5" customHeight="1"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15.0" customHeight="1"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15.0" customHeight="1">
      <c r="B5" s="4" t="s">
        <v>2</v>
      </c>
      <c r="C5" s="1"/>
      <c r="D5" s="5">
        <v>3.0</v>
      </c>
      <c r="E5" s="1"/>
      <c r="F5" s="4" t="s">
        <v>3</v>
      </c>
      <c r="G5" s="1"/>
      <c r="H5" s="6">
        <v>96.99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15.0" customHeight="1">
      <c r="B6" s="4" t="s">
        <v>4</v>
      </c>
      <c r="C6" s="1"/>
      <c r="D6" s="5">
        <v>1.5</v>
      </c>
      <c r="E6" s="1"/>
      <c r="F6" s="4" t="s">
        <v>5</v>
      </c>
      <c r="G6" s="1"/>
      <c r="H6" s="7">
        <v>0.44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27.75" customHeight="1">
      <c r="B9" s="8" t="s">
        <v>6</v>
      </c>
      <c r="C9" s="8" t="s">
        <v>7</v>
      </c>
      <c r="D9" s="9" t="s">
        <v>8</v>
      </c>
      <c r="E9" s="9" t="s">
        <v>9</v>
      </c>
      <c r="F9" s="9" t="s">
        <v>10</v>
      </c>
      <c r="G9" s="9" t="s">
        <v>11</v>
      </c>
      <c r="H9" s="9" t="s">
        <v>12</v>
      </c>
      <c r="I9" s="9" t="s">
        <v>13</v>
      </c>
      <c r="J9" s="9" t="s">
        <v>14</v>
      </c>
      <c r="K9" s="9" t="s">
        <v>15</v>
      </c>
      <c r="L9" s="9" t="s">
        <v>16</v>
      </c>
      <c r="M9" s="9" t="s">
        <v>17</v>
      </c>
      <c r="N9" s="9" t="s">
        <v>18</v>
      </c>
      <c r="O9" s="9" t="s">
        <v>19</v>
      </c>
      <c r="P9" s="9" t="s">
        <v>20</v>
      </c>
      <c r="Q9" s="9" t="s">
        <v>21</v>
      </c>
      <c r="R9" s="9" t="s">
        <v>22</v>
      </c>
      <c r="S9" s="8" t="s">
        <v>23</v>
      </c>
      <c r="T9" s="8" t="s">
        <v>24</v>
      </c>
      <c r="U9" s="8" t="s">
        <v>25</v>
      </c>
      <c r="V9" s="8" t="s">
        <v>26</v>
      </c>
      <c r="W9" s="8" t="s">
        <v>27</v>
      </c>
      <c r="X9" s="8" t="s">
        <v>28</v>
      </c>
      <c r="Y9" s="8" t="s">
        <v>29</v>
      </c>
      <c r="Z9" s="8" t="s">
        <v>30</v>
      </c>
      <c r="AA9" s="8" t="s">
        <v>31</v>
      </c>
      <c r="AB9" s="8" t="s">
        <v>32</v>
      </c>
      <c r="AC9" s="8" t="s">
        <v>33</v>
      </c>
      <c r="AD9" s="8" t="s">
        <v>34</v>
      </c>
    </row>
    <row r="10" ht="15.0" customHeight="1">
      <c r="B10" s="10" t="s">
        <v>35</v>
      </c>
      <c r="C10" s="11" t="str">
        <f>'Order Calculation'!B3</f>
        <v>JAR</v>
      </c>
      <c r="D10" s="12">
        <f>'Order Calculation'!C3</f>
        <v>5</v>
      </c>
      <c r="E10" s="12">
        <f>'Order Calculation'!D3</f>
        <v>70</v>
      </c>
      <c r="F10" s="12">
        <f>'Order Calculation'!E3</f>
        <v>38</v>
      </c>
      <c r="G10" s="12">
        <f>'Order Calculation'!F3</f>
        <v>18</v>
      </c>
      <c r="H10" s="12">
        <f>'Order Calculation'!G3</f>
        <v>41</v>
      </c>
      <c r="I10" s="12">
        <f>'Order Calculation'!H3</f>
        <v>19</v>
      </c>
      <c r="J10" s="12">
        <f>'Order Calculation'!I3</f>
        <v>13</v>
      </c>
      <c r="K10" s="12">
        <f>'Order Calculation'!J3</f>
        <v>47</v>
      </c>
      <c r="L10" s="12">
        <f>'Order Calculation'!K3</f>
        <v>59</v>
      </c>
      <c r="M10" s="12">
        <f>'Order Calculation'!L3</f>
        <v>34</v>
      </c>
      <c r="N10" s="12">
        <f>'Order Calculation'!M3</f>
        <v>44</v>
      </c>
      <c r="O10" s="12">
        <f>'Order Calculation'!N3</f>
        <v>12</v>
      </c>
      <c r="P10" s="12">
        <f>'Order Calculation'!O3</f>
        <v>29</v>
      </c>
      <c r="Q10" s="12">
        <f>'Order Calculation'!P3</f>
        <v>45</v>
      </c>
      <c r="R10" s="12">
        <f>'Order Calculation'!Q3</f>
        <v>55</v>
      </c>
      <c r="S10" s="13">
        <f>'Order Calculation'!V3/6</f>
        <v>36.5</v>
      </c>
      <c r="T10" s="13">
        <f t="shared" ref="T10:T16" si="1">S10*$D$5</f>
        <v>109.5</v>
      </c>
      <c r="U10" s="13">
        <f t="shared" ref="U10:U16" si="2">S10*$D$6</f>
        <v>54.75</v>
      </c>
      <c r="V10" s="14">
        <f t="shared" ref="V10:V16" si="3">ROUNDUP(T10+U10,0)</f>
        <v>165</v>
      </c>
      <c r="W10" s="14">
        <f>'Order Calculation'!Y3</f>
        <v>28</v>
      </c>
      <c r="X10" s="14">
        <f t="shared" ref="X10:X59" si="4">MAX(0,V10-W10)</f>
        <v>137</v>
      </c>
      <c r="Y10" s="15">
        <v>13.8</v>
      </c>
      <c r="Z10" s="16">
        <f t="shared" ref="Z10:Z59" si="5">Y10*$H$5</f>
        <v>1338.462</v>
      </c>
      <c r="AA10" s="16">
        <f t="shared" ref="AA10:AA59" si="6">Z10*$H$6</f>
        <v>588.92328</v>
      </c>
      <c r="AB10" s="17">
        <v>66.93</v>
      </c>
      <c r="AC10" s="16">
        <f t="shared" ref="AC10:AC59" si="7">Z10+AA10+AB10</f>
        <v>1994.31528</v>
      </c>
      <c r="AD10" s="18">
        <f t="shared" ref="AD10:AD59" si="8">X10*AC10</f>
        <v>273221.1934</v>
      </c>
    </row>
    <row r="11" ht="15.0" customHeight="1">
      <c r="B11" s="10" t="s">
        <v>36</v>
      </c>
      <c r="C11" s="11" t="str">
        <f>'Order Calculation'!B4</f>
        <v>JAR</v>
      </c>
      <c r="D11" s="12">
        <f>'Order Calculation'!C4</f>
        <v>9</v>
      </c>
      <c r="E11" s="12">
        <f>'Order Calculation'!D4</f>
        <v>86</v>
      </c>
      <c r="F11" s="12">
        <f>'Order Calculation'!E4</f>
        <v>32</v>
      </c>
      <c r="G11" s="12">
        <f>'Order Calculation'!F4</f>
        <v>60</v>
      </c>
      <c r="H11" s="12">
        <f>'Order Calculation'!G4</f>
        <v>14</v>
      </c>
      <c r="I11" s="12">
        <f>'Order Calculation'!H4</f>
        <v>31</v>
      </c>
      <c r="J11" s="12">
        <f>'Order Calculation'!I4</f>
        <v>22</v>
      </c>
      <c r="K11" s="12">
        <f>'Order Calculation'!J4</f>
        <v>57</v>
      </c>
      <c r="L11" s="12">
        <f>'Order Calculation'!K4</f>
        <v>51</v>
      </c>
      <c r="M11" s="12">
        <f>'Order Calculation'!L4</f>
        <v>41</v>
      </c>
      <c r="N11" s="12">
        <f>'Order Calculation'!M4</f>
        <v>53</v>
      </c>
      <c r="O11" s="12">
        <f>'Order Calculation'!N4</f>
        <v>23</v>
      </c>
      <c r="P11" s="12">
        <f>'Order Calculation'!O4</f>
        <v>46</v>
      </c>
      <c r="Q11" s="12">
        <f>'Order Calculation'!P4</f>
        <v>35</v>
      </c>
      <c r="R11" s="12">
        <f>'Order Calculation'!Q4</f>
        <v>32</v>
      </c>
      <c r="S11" s="13">
        <f>'Order Calculation'!V4/6</f>
        <v>38.33333333</v>
      </c>
      <c r="T11" s="13">
        <f t="shared" si="1"/>
        <v>115</v>
      </c>
      <c r="U11" s="13">
        <f t="shared" si="2"/>
        <v>57.5</v>
      </c>
      <c r="V11" s="14">
        <f t="shared" si="3"/>
        <v>173</v>
      </c>
      <c r="W11" s="14">
        <f>'Order Calculation'!Y4</f>
        <v>64</v>
      </c>
      <c r="X11" s="14">
        <f t="shared" si="4"/>
        <v>109</v>
      </c>
      <c r="Y11" s="15">
        <v>13.8</v>
      </c>
      <c r="Z11" s="16">
        <f t="shared" si="5"/>
        <v>1338.462</v>
      </c>
      <c r="AA11" s="16">
        <f t="shared" si="6"/>
        <v>588.92328</v>
      </c>
      <c r="AB11" s="17">
        <v>66.93</v>
      </c>
      <c r="AC11" s="16">
        <f t="shared" si="7"/>
        <v>1994.31528</v>
      </c>
      <c r="AD11" s="18">
        <f t="shared" si="8"/>
        <v>217380.3655</v>
      </c>
    </row>
    <row r="12" ht="15.0" customHeight="1">
      <c r="B12" s="10" t="s">
        <v>37</v>
      </c>
      <c r="C12" s="11" t="str">
        <f>'Order Calculation'!B13</f>
        <v>JAR</v>
      </c>
      <c r="D12" s="12">
        <f>'Order Calculation'!C13</f>
        <v>34</v>
      </c>
      <c r="E12" s="12">
        <f>'Order Calculation'!D13</f>
        <v>36</v>
      </c>
      <c r="F12" s="12">
        <f>'Order Calculation'!E13</f>
        <v>16</v>
      </c>
      <c r="G12" s="12">
        <f>'Order Calculation'!F13</f>
        <v>38</v>
      </c>
      <c r="H12" s="12">
        <f>'Order Calculation'!G13</f>
        <v>23</v>
      </c>
      <c r="I12" s="12">
        <f>'Order Calculation'!H13</f>
        <v>5</v>
      </c>
      <c r="J12" s="12">
        <f>'Order Calculation'!I13</f>
        <v>6</v>
      </c>
      <c r="K12" s="12">
        <f>'Order Calculation'!J13</f>
        <v>56</v>
      </c>
      <c r="L12" s="12">
        <f>'Order Calculation'!K13</f>
        <v>29</v>
      </c>
      <c r="M12" s="12">
        <f>'Order Calculation'!L13</f>
        <v>19</v>
      </c>
      <c r="N12" s="12">
        <f>'Order Calculation'!M13</f>
        <v>31</v>
      </c>
      <c r="O12" s="12">
        <f>'Order Calculation'!N13</f>
        <v>19</v>
      </c>
      <c r="P12" s="12">
        <f>'Order Calculation'!O13</f>
        <v>23</v>
      </c>
      <c r="Q12" s="12">
        <f>'Order Calculation'!P13</f>
        <v>4</v>
      </c>
      <c r="R12" s="12">
        <f>'Order Calculation'!Q13</f>
        <v>21</v>
      </c>
      <c r="S12" s="13">
        <f>'Order Calculation'!V13/6</f>
        <v>19.5</v>
      </c>
      <c r="T12" s="13">
        <f t="shared" si="1"/>
        <v>58.5</v>
      </c>
      <c r="U12" s="13">
        <f t="shared" si="2"/>
        <v>29.25</v>
      </c>
      <c r="V12" s="14">
        <f t="shared" si="3"/>
        <v>88</v>
      </c>
      <c r="W12" s="14">
        <f>'Order Calculation'!Y13</f>
        <v>57</v>
      </c>
      <c r="X12" s="14">
        <f t="shared" si="4"/>
        <v>31</v>
      </c>
      <c r="Y12" s="15">
        <v>24.0</v>
      </c>
      <c r="Z12" s="16">
        <f t="shared" si="5"/>
        <v>2327.76</v>
      </c>
      <c r="AA12" s="16">
        <f t="shared" si="6"/>
        <v>1024.2144</v>
      </c>
      <c r="AB12" s="17">
        <v>66.93</v>
      </c>
      <c r="AC12" s="16">
        <f t="shared" si="7"/>
        <v>3418.9044</v>
      </c>
      <c r="AD12" s="18">
        <f t="shared" si="8"/>
        <v>105986.0364</v>
      </c>
    </row>
    <row r="13" ht="15.0" customHeight="1">
      <c r="B13" s="10" t="s">
        <v>38</v>
      </c>
      <c r="C13" s="11" t="str">
        <f>'Order Calculation'!B7</f>
        <v>JAR</v>
      </c>
      <c r="D13" s="12">
        <f>'Order Calculation'!C7</f>
        <v>2</v>
      </c>
      <c r="E13" s="12">
        <f>'Order Calculation'!D7</f>
        <v>20</v>
      </c>
      <c r="F13" s="12">
        <f>'Order Calculation'!E7</f>
        <v>17</v>
      </c>
      <c r="G13" s="12">
        <f>'Order Calculation'!F7</f>
        <v>22</v>
      </c>
      <c r="H13" s="12">
        <f>'Order Calculation'!G7</f>
        <v>12</v>
      </c>
      <c r="I13" s="12">
        <f>'Order Calculation'!H7</f>
        <v>23</v>
      </c>
      <c r="J13" s="12">
        <f>'Order Calculation'!I7</f>
        <v>4</v>
      </c>
      <c r="K13" s="12">
        <f>'Order Calculation'!J7</f>
        <v>20</v>
      </c>
      <c r="L13" s="12">
        <f>'Order Calculation'!K7</f>
        <v>12</v>
      </c>
      <c r="M13" s="12">
        <f>'Order Calculation'!L7</f>
        <v>9</v>
      </c>
      <c r="N13" s="12">
        <f>'Order Calculation'!M7</f>
        <v>11</v>
      </c>
      <c r="O13" s="12">
        <f>'Order Calculation'!N7</f>
        <v>10</v>
      </c>
      <c r="P13" s="12">
        <f>'Order Calculation'!O7</f>
        <v>12</v>
      </c>
      <c r="Q13" s="12">
        <f>'Order Calculation'!P7</f>
        <v>17</v>
      </c>
      <c r="R13" s="12">
        <f>'Order Calculation'!Q7</f>
        <v>11</v>
      </c>
      <c r="S13" s="13">
        <f>'Order Calculation'!V7/6</f>
        <v>11.66666667</v>
      </c>
      <c r="T13" s="13">
        <f t="shared" si="1"/>
        <v>35</v>
      </c>
      <c r="U13" s="13">
        <f t="shared" si="2"/>
        <v>17.5</v>
      </c>
      <c r="V13" s="14">
        <f t="shared" si="3"/>
        <v>53</v>
      </c>
      <c r="W13" s="14">
        <f>'Order Calculation'!Y7</f>
        <v>1</v>
      </c>
      <c r="X13" s="14">
        <f t="shared" si="4"/>
        <v>52</v>
      </c>
      <c r="Y13" s="15">
        <v>13.8</v>
      </c>
      <c r="Z13" s="16">
        <f t="shared" si="5"/>
        <v>1338.462</v>
      </c>
      <c r="AA13" s="16">
        <f t="shared" si="6"/>
        <v>588.92328</v>
      </c>
      <c r="AB13" s="17">
        <v>66.93</v>
      </c>
      <c r="AC13" s="16">
        <f t="shared" si="7"/>
        <v>1994.31528</v>
      </c>
      <c r="AD13" s="18">
        <f t="shared" si="8"/>
        <v>103704.3946</v>
      </c>
    </row>
    <row r="14" ht="15.0" customHeight="1">
      <c r="B14" s="10" t="s">
        <v>39</v>
      </c>
      <c r="C14" s="11" t="str">
        <f>'Order Calculation'!B8</f>
        <v>JAR</v>
      </c>
      <c r="D14" s="12">
        <f>'Order Calculation'!C8</f>
        <v>17</v>
      </c>
      <c r="E14" s="12">
        <f>'Order Calculation'!D8</f>
        <v>9</v>
      </c>
      <c r="F14" s="12">
        <f>'Order Calculation'!E8</f>
        <v>20</v>
      </c>
      <c r="G14" s="12">
        <f>'Order Calculation'!F8</f>
        <v>5</v>
      </c>
      <c r="H14" s="12">
        <f>'Order Calculation'!G8</f>
        <v>15</v>
      </c>
      <c r="I14" s="12">
        <f>'Order Calculation'!H8</f>
        <v>1</v>
      </c>
      <c r="J14" s="12">
        <f>'Order Calculation'!I8</f>
        <v>3</v>
      </c>
      <c r="K14" s="12">
        <f>'Order Calculation'!J8</f>
        <v>16</v>
      </c>
      <c r="L14" s="12">
        <f>'Order Calculation'!K8</f>
        <v>22</v>
      </c>
      <c r="M14" s="12">
        <f>'Order Calculation'!L8</f>
        <v>1</v>
      </c>
      <c r="N14" s="12">
        <f>'Order Calculation'!M8</f>
        <v>22</v>
      </c>
      <c r="O14" s="12">
        <f>'Order Calculation'!N8</f>
        <v>4</v>
      </c>
      <c r="P14" s="12">
        <f>'Order Calculation'!O8</f>
        <v>27</v>
      </c>
      <c r="Q14" s="12">
        <f>'Order Calculation'!P8</f>
        <v>3</v>
      </c>
      <c r="R14" s="12">
        <f>'Order Calculation'!Q8</f>
        <v>4</v>
      </c>
      <c r="S14" s="13">
        <f>'Order Calculation'!V8/6</f>
        <v>10.16666667</v>
      </c>
      <c r="T14" s="13">
        <f t="shared" si="1"/>
        <v>30.5</v>
      </c>
      <c r="U14" s="13">
        <f t="shared" si="2"/>
        <v>15.25</v>
      </c>
      <c r="V14" s="14">
        <f t="shared" si="3"/>
        <v>46</v>
      </c>
      <c r="W14" s="14">
        <f>'Order Calculation'!Y8</f>
        <v>5</v>
      </c>
      <c r="X14" s="14">
        <f t="shared" si="4"/>
        <v>41</v>
      </c>
      <c r="Y14" s="15">
        <v>13.8</v>
      </c>
      <c r="Z14" s="16">
        <f t="shared" si="5"/>
        <v>1338.462</v>
      </c>
      <c r="AA14" s="16">
        <f t="shared" si="6"/>
        <v>588.92328</v>
      </c>
      <c r="AB14" s="17">
        <v>66.93</v>
      </c>
      <c r="AC14" s="16">
        <f t="shared" si="7"/>
        <v>1994.31528</v>
      </c>
      <c r="AD14" s="18">
        <f t="shared" si="8"/>
        <v>81766.92648</v>
      </c>
    </row>
    <row r="15" ht="15.0" customHeight="1">
      <c r="B15" s="10" t="s">
        <v>40</v>
      </c>
      <c r="C15" s="11" t="str">
        <f>'Order Calculation'!B18</f>
        <v>JAR</v>
      </c>
      <c r="D15" s="12">
        <f>'Order Calculation'!C18</f>
        <v>5</v>
      </c>
      <c r="E15" s="12">
        <f>'Order Calculation'!D18</f>
        <v>53</v>
      </c>
      <c r="F15" s="12">
        <f>'Order Calculation'!E18</f>
        <v>25</v>
      </c>
      <c r="G15" s="12">
        <f>'Order Calculation'!F18</f>
        <v>35</v>
      </c>
      <c r="H15" s="12">
        <f>'Order Calculation'!G18</f>
        <v>20</v>
      </c>
      <c r="I15" s="12">
        <f>'Order Calculation'!H18</f>
        <v>36</v>
      </c>
      <c r="J15" s="12">
        <f>'Order Calculation'!I18</f>
        <v>12</v>
      </c>
      <c r="K15" s="12">
        <f>'Order Calculation'!J18</f>
        <v>28</v>
      </c>
      <c r="L15" s="12">
        <f>'Order Calculation'!K18</f>
        <v>29</v>
      </c>
      <c r="M15" s="12">
        <f>'Order Calculation'!L18</f>
        <v>16</v>
      </c>
      <c r="N15" s="12">
        <f>'Order Calculation'!M18</f>
        <v>22</v>
      </c>
      <c r="O15" s="12">
        <f>'Order Calculation'!N18</f>
        <v>56</v>
      </c>
      <c r="P15" s="12">
        <f>'Order Calculation'!O18</f>
        <v>44</v>
      </c>
      <c r="Q15" s="12">
        <f>'Order Calculation'!P18</f>
        <v>18</v>
      </c>
      <c r="R15" s="12">
        <f>'Order Calculation'!Q18</f>
        <v>10</v>
      </c>
      <c r="S15" s="13">
        <f>'Order Calculation'!V18/6</f>
        <v>27.66666667</v>
      </c>
      <c r="T15" s="13">
        <f t="shared" si="1"/>
        <v>83</v>
      </c>
      <c r="U15" s="13">
        <f t="shared" si="2"/>
        <v>41.5</v>
      </c>
      <c r="V15" s="14">
        <f t="shared" si="3"/>
        <v>125</v>
      </c>
      <c r="W15" s="14">
        <f>'Order Calculation'!Y18</f>
        <v>89</v>
      </c>
      <c r="X15" s="14">
        <f t="shared" si="4"/>
        <v>36</v>
      </c>
      <c r="Y15" s="15">
        <v>13.8</v>
      </c>
      <c r="Z15" s="16">
        <f t="shared" si="5"/>
        <v>1338.462</v>
      </c>
      <c r="AA15" s="16">
        <f t="shared" si="6"/>
        <v>588.92328</v>
      </c>
      <c r="AB15" s="17">
        <v>66.93</v>
      </c>
      <c r="AC15" s="16">
        <f t="shared" si="7"/>
        <v>1994.31528</v>
      </c>
      <c r="AD15" s="18">
        <f t="shared" si="8"/>
        <v>71795.35008</v>
      </c>
    </row>
    <row r="16" ht="15.0" customHeight="1">
      <c r="B16" s="10" t="s">
        <v>41</v>
      </c>
      <c r="C16" s="11" t="str">
        <f>'Order Calculation'!B11</f>
        <v>RETAIL</v>
      </c>
      <c r="D16" s="12" t="str">
        <f>'Order Calculation'!C11</f>
        <v/>
      </c>
      <c r="E16" s="12">
        <f>'Order Calculation'!D11</f>
        <v>1</v>
      </c>
      <c r="F16" s="12">
        <f>'Order Calculation'!E11</f>
        <v>10</v>
      </c>
      <c r="G16" s="12" t="str">
        <f>'Order Calculation'!F11</f>
        <v/>
      </c>
      <c r="H16" s="12">
        <f>'Order Calculation'!G11</f>
        <v>1</v>
      </c>
      <c r="I16" s="12">
        <f>'Order Calculation'!H11</f>
        <v>1</v>
      </c>
      <c r="J16" s="12">
        <f>'Order Calculation'!I11</f>
        <v>1</v>
      </c>
      <c r="K16" s="12">
        <f>'Order Calculation'!J11</f>
        <v>1</v>
      </c>
      <c r="L16" s="12" t="str">
        <f>'Order Calculation'!K11</f>
        <v/>
      </c>
      <c r="M16" s="12">
        <f>'Order Calculation'!L11</f>
        <v>13</v>
      </c>
      <c r="N16" s="12" t="str">
        <f>'Order Calculation'!M11</f>
        <v/>
      </c>
      <c r="O16" s="12" t="str">
        <f>'Order Calculation'!N11</f>
        <v/>
      </c>
      <c r="P16" s="12">
        <f>'Order Calculation'!O11</f>
        <v>1</v>
      </c>
      <c r="Q16" s="12">
        <f>'Order Calculation'!P11</f>
        <v>8</v>
      </c>
      <c r="R16" s="12" t="str">
        <f>'Order Calculation'!Q11</f>
        <v/>
      </c>
      <c r="S16" s="13">
        <f>'Order Calculation'!V11/6</f>
        <v>3.666666667</v>
      </c>
      <c r="T16" s="13">
        <f t="shared" si="1"/>
        <v>11</v>
      </c>
      <c r="U16" s="13">
        <f t="shared" si="2"/>
        <v>5.5</v>
      </c>
      <c r="V16" s="14">
        <f t="shared" si="3"/>
        <v>17</v>
      </c>
      <c r="W16" s="14">
        <f>'Order Calculation'!Y11</f>
        <v>9</v>
      </c>
      <c r="X16" s="14">
        <f t="shared" si="4"/>
        <v>8</v>
      </c>
      <c r="Y16" s="15">
        <v>11.1</v>
      </c>
      <c r="Z16" s="16">
        <f t="shared" si="5"/>
        <v>1076.589</v>
      </c>
      <c r="AA16" s="16">
        <f t="shared" si="6"/>
        <v>473.69916</v>
      </c>
      <c r="AB16" s="17">
        <v>21.53</v>
      </c>
      <c r="AC16" s="16">
        <f t="shared" si="7"/>
        <v>1571.81816</v>
      </c>
      <c r="AD16" s="18">
        <f t="shared" si="8"/>
        <v>12574.54528</v>
      </c>
    </row>
    <row r="17" ht="15.0" customHeight="1">
      <c r="B17" s="10" t="s">
        <v>42</v>
      </c>
      <c r="C17" s="11" t="str">
        <f>'Order Calculation'!B52</f>
        <v>Accessory</v>
      </c>
      <c r="D17" s="12">
        <f>'Order Calculation'!C52</f>
        <v>10</v>
      </c>
      <c r="E17" s="12">
        <f>'Order Calculation'!D52</f>
        <v>78</v>
      </c>
      <c r="F17" s="12">
        <f>'Order Calculation'!E52</f>
        <v>38</v>
      </c>
      <c r="G17" s="12">
        <f>'Order Calculation'!F52</f>
        <v>33</v>
      </c>
      <c r="H17" s="12">
        <f>'Order Calculation'!G52</f>
        <v>25</v>
      </c>
      <c r="I17" s="12">
        <f>'Order Calculation'!H52</f>
        <v>28</v>
      </c>
      <c r="J17" s="12">
        <f>'Order Calculation'!I52</f>
        <v>15</v>
      </c>
      <c r="K17" s="12">
        <f>'Order Calculation'!J52</f>
        <v>24</v>
      </c>
      <c r="L17" s="12">
        <f>'Order Calculation'!K52</f>
        <v>27</v>
      </c>
      <c r="M17" s="12">
        <f>'Order Calculation'!L52</f>
        <v>15</v>
      </c>
      <c r="N17" s="12">
        <f>'Order Calculation'!M52</f>
        <v>29</v>
      </c>
      <c r="O17" s="12">
        <f>'Order Calculation'!N52</f>
        <v>28</v>
      </c>
      <c r="P17" s="12">
        <f>'Order Calculation'!O52</f>
        <v>10</v>
      </c>
      <c r="Q17" s="12">
        <f>'Order Calculation'!P52</f>
        <v>15</v>
      </c>
      <c r="R17" s="12">
        <f>'Order Calculation'!Q52</f>
        <v>17</v>
      </c>
      <c r="S17" s="13">
        <f>'Order Calculation'!V52/6</f>
        <v>19</v>
      </c>
      <c r="T17" s="13">
        <f t="shared" ref="T17:T18" si="9">V17*0.7</f>
        <v>245</v>
      </c>
      <c r="U17" s="13">
        <f t="shared" ref="U17:U18" si="10">V17*0.3</f>
        <v>105</v>
      </c>
      <c r="V17" s="19">
        <v>350.0</v>
      </c>
      <c r="W17" s="14">
        <f>'Order Calculation'!Y52</f>
        <v>239</v>
      </c>
      <c r="X17" s="14">
        <f t="shared" si="4"/>
        <v>111</v>
      </c>
      <c r="Y17" s="20"/>
      <c r="Z17" s="16">
        <f t="shared" si="5"/>
        <v>0</v>
      </c>
      <c r="AA17" s="16">
        <f t="shared" si="6"/>
        <v>0</v>
      </c>
      <c r="AB17" s="17">
        <v>66.93</v>
      </c>
      <c r="AC17" s="16">
        <f t="shared" si="7"/>
        <v>66.93</v>
      </c>
      <c r="AD17" s="18">
        <f t="shared" si="8"/>
        <v>7429.23</v>
      </c>
    </row>
    <row r="18" ht="15.0" customHeight="1">
      <c r="B18" s="10" t="s">
        <v>43</v>
      </c>
      <c r="C18" s="11" t="str">
        <f>'Order Calculation'!B51</f>
        <v>Accessory</v>
      </c>
      <c r="D18" s="12">
        <f>'Order Calculation'!C51</f>
        <v>2</v>
      </c>
      <c r="E18" s="12">
        <f>'Order Calculation'!D51</f>
        <v>19</v>
      </c>
      <c r="F18" s="12">
        <f>'Order Calculation'!E51</f>
        <v>9</v>
      </c>
      <c r="G18" s="12">
        <f>'Order Calculation'!F51</f>
        <v>13</v>
      </c>
      <c r="H18" s="12">
        <f>'Order Calculation'!G51</f>
        <v>9</v>
      </c>
      <c r="I18" s="12">
        <f>'Order Calculation'!H51</f>
        <v>11</v>
      </c>
      <c r="J18" s="12">
        <f>'Order Calculation'!I51</f>
        <v>2</v>
      </c>
      <c r="K18" s="12">
        <f>'Order Calculation'!J51</f>
        <v>5</v>
      </c>
      <c r="L18" s="12">
        <f>'Order Calculation'!K51</f>
        <v>6</v>
      </c>
      <c r="M18" s="12">
        <f>'Order Calculation'!L51</f>
        <v>5</v>
      </c>
      <c r="N18" s="12">
        <f>'Order Calculation'!M51</f>
        <v>9</v>
      </c>
      <c r="O18" s="12">
        <f>'Order Calculation'!N51</f>
        <v>8</v>
      </c>
      <c r="P18" s="12">
        <f>'Order Calculation'!O51</f>
        <v>6</v>
      </c>
      <c r="Q18" s="12">
        <f>'Order Calculation'!P51</f>
        <v>2</v>
      </c>
      <c r="R18" s="12">
        <f>'Order Calculation'!Q51</f>
        <v>10</v>
      </c>
      <c r="S18" s="13">
        <f>'Order Calculation'!V51/6</f>
        <v>6.666666667</v>
      </c>
      <c r="T18" s="13">
        <f t="shared" si="9"/>
        <v>70</v>
      </c>
      <c r="U18" s="13">
        <f t="shared" si="10"/>
        <v>30</v>
      </c>
      <c r="V18" s="19">
        <v>100.0</v>
      </c>
      <c r="W18" s="14">
        <f>'Order Calculation'!Y51</f>
        <v>145</v>
      </c>
      <c r="X18" s="14">
        <f t="shared" si="4"/>
        <v>0</v>
      </c>
      <c r="Y18" s="20"/>
      <c r="Z18" s="16">
        <f t="shared" si="5"/>
        <v>0</v>
      </c>
      <c r="AA18" s="16">
        <f t="shared" si="6"/>
        <v>0</v>
      </c>
      <c r="AB18" s="17">
        <v>66.93</v>
      </c>
      <c r="AC18" s="16">
        <f t="shared" si="7"/>
        <v>66.93</v>
      </c>
      <c r="AD18" s="18">
        <f t="shared" si="8"/>
        <v>0</v>
      </c>
    </row>
    <row r="19" ht="15.0" customHeight="1">
      <c r="B19" s="10" t="s">
        <v>44</v>
      </c>
      <c r="C19" s="11" t="str">
        <f>'Order Calculation'!B50</f>
        <v>RETAIL</v>
      </c>
      <c r="D19" s="12" t="str">
        <f>'Order Calculation'!C50</f>
        <v/>
      </c>
      <c r="E19" s="12">
        <f>'Order Calculation'!D50</f>
        <v>3</v>
      </c>
      <c r="F19" s="12">
        <f>'Order Calculation'!E50</f>
        <v>10</v>
      </c>
      <c r="G19" s="12">
        <f>'Order Calculation'!F50</f>
        <v>20</v>
      </c>
      <c r="H19" s="12">
        <f>'Order Calculation'!G50</f>
        <v>6</v>
      </c>
      <c r="I19" s="12">
        <f>'Order Calculation'!H50</f>
        <v>3</v>
      </c>
      <c r="J19" s="12">
        <f>'Order Calculation'!I50</f>
        <v>1</v>
      </c>
      <c r="K19" s="12" t="str">
        <f>'Order Calculation'!J50</f>
        <v/>
      </c>
      <c r="L19" s="12">
        <f>'Order Calculation'!K50</f>
        <v>5</v>
      </c>
      <c r="M19" s="12" t="str">
        <f>'Order Calculation'!L50</f>
        <v/>
      </c>
      <c r="N19" s="12" t="str">
        <f>'Order Calculation'!M50</f>
        <v/>
      </c>
      <c r="O19" s="12" t="str">
        <f>'Order Calculation'!N50</f>
        <v/>
      </c>
      <c r="P19" s="12" t="str">
        <f>'Order Calculation'!O50</f>
        <v/>
      </c>
      <c r="Q19" s="12" t="str">
        <f>'Order Calculation'!P50</f>
        <v/>
      </c>
      <c r="R19" s="12" t="str">
        <f>'Order Calculation'!Q50</f>
        <v/>
      </c>
      <c r="S19" s="13">
        <f>'Order Calculation'!V50/6</f>
        <v>0</v>
      </c>
      <c r="T19" s="13">
        <f t="shared" ref="T19:T23" si="11">S19*$D$5</f>
        <v>0</v>
      </c>
      <c r="U19" s="13">
        <f t="shared" ref="U19:U23" si="12">S19*$D$6</f>
        <v>0</v>
      </c>
      <c r="V19" s="14">
        <f t="shared" ref="V19:V23" si="13">ROUNDUP(T19+U19,0)</f>
        <v>0</v>
      </c>
      <c r="W19" s="14">
        <f>'Order Calculation'!Y50</f>
        <v>110</v>
      </c>
      <c r="X19" s="14">
        <f t="shared" si="4"/>
        <v>0</v>
      </c>
      <c r="Y19" s="15">
        <v>11.1</v>
      </c>
      <c r="Z19" s="16">
        <f t="shared" si="5"/>
        <v>1076.589</v>
      </c>
      <c r="AA19" s="16">
        <f t="shared" si="6"/>
        <v>473.69916</v>
      </c>
      <c r="AB19" s="17">
        <v>21.53</v>
      </c>
      <c r="AC19" s="16">
        <f t="shared" si="7"/>
        <v>1571.81816</v>
      </c>
      <c r="AD19" s="18">
        <f t="shared" si="8"/>
        <v>0</v>
      </c>
    </row>
    <row r="20" ht="15.0" customHeight="1">
      <c r="B20" s="10" t="s">
        <v>45</v>
      </c>
      <c r="C20" s="11" t="str">
        <f>'Order Calculation'!B49</f>
        <v>Accessory</v>
      </c>
      <c r="D20" s="12" t="str">
        <f>'Order Calculation'!C49</f>
        <v/>
      </c>
      <c r="E20" s="12" t="str">
        <f>'Order Calculation'!D49</f>
        <v/>
      </c>
      <c r="F20" s="12">
        <f>'Order Calculation'!E49</f>
        <v>1</v>
      </c>
      <c r="G20" s="12">
        <f>'Order Calculation'!F49</f>
        <v>1</v>
      </c>
      <c r="H20" s="12" t="str">
        <f>'Order Calculation'!G49</f>
        <v/>
      </c>
      <c r="I20" s="12" t="str">
        <f>'Order Calculation'!H49</f>
        <v/>
      </c>
      <c r="J20" s="12" t="str">
        <f>'Order Calculation'!I49</f>
        <v/>
      </c>
      <c r="K20" s="12" t="str">
        <f>'Order Calculation'!J49</f>
        <v/>
      </c>
      <c r="L20" s="12" t="str">
        <f>'Order Calculation'!K49</f>
        <v/>
      </c>
      <c r="M20" s="12" t="str">
        <f>'Order Calculation'!L49</f>
        <v/>
      </c>
      <c r="N20" s="12" t="str">
        <f>'Order Calculation'!M49</f>
        <v/>
      </c>
      <c r="O20" s="12" t="str">
        <f>'Order Calculation'!N49</f>
        <v/>
      </c>
      <c r="P20" s="12" t="str">
        <f>'Order Calculation'!O49</f>
        <v/>
      </c>
      <c r="Q20" s="12">
        <f>'Order Calculation'!P49</f>
        <v>2</v>
      </c>
      <c r="R20" s="12" t="str">
        <f>'Order Calculation'!Q49</f>
        <v/>
      </c>
      <c r="S20" s="13">
        <f>'Order Calculation'!V49/6</f>
        <v>0.3333333333</v>
      </c>
      <c r="T20" s="13">
        <f t="shared" si="11"/>
        <v>1</v>
      </c>
      <c r="U20" s="13">
        <f t="shared" si="12"/>
        <v>0.5</v>
      </c>
      <c r="V20" s="14">
        <f t="shared" si="13"/>
        <v>2</v>
      </c>
      <c r="W20" s="14">
        <f>'Order Calculation'!Y49</f>
        <v>155</v>
      </c>
      <c r="X20" s="14">
        <f t="shared" si="4"/>
        <v>0</v>
      </c>
      <c r="Y20" s="20"/>
      <c r="Z20" s="16">
        <f t="shared" si="5"/>
        <v>0</v>
      </c>
      <c r="AA20" s="16">
        <f t="shared" si="6"/>
        <v>0</v>
      </c>
      <c r="AB20" s="17">
        <v>66.93</v>
      </c>
      <c r="AC20" s="16">
        <f t="shared" si="7"/>
        <v>66.93</v>
      </c>
      <c r="AD20" s="18">
        <f t="shared" si="8"/>
        <v>0</v>
      </c>
    </row>
    <row r="21" ht="15.0" customHeight="1">
      <c r="B21" s="10" t="s">
        <v>46</v>
      </c>
      <c r="C21" s="11" t="str">
        <f>'Order Calculation'!B48</f>
        <v>RETAIL</v>
      </c>
      <c r="D21" s="12" t="str">
        <f>'Order Calculation'!C48</f>
        <v/>
      </c>
      <c r="E21" s="12">
        <f>'Order Calculation'!D48</f>
        <v>1</v>
      </c>
      <c r="F21" s="12">
        <f>'Order Calculation'!E48</f>
        <v>5</v>
      </c>
      <c r="G21" s="12">
        <f>'Order Calculation'!F48</f>
        <v>13</v>
      </c>
      <c r="H21" s="12">
        <f>'Order Calculation'!G48</f>
        <v>1</v>
      </c>
      <c r="I21" s="12">
        <f>'Order Calculation'!H48</f>
        <v>1</v>
      </c>
      <c r="J21" s="12">
        <f>'Order Calculation'!I48</f>
        <v>1</v>
      </c>
      <c r="K21" s="12" t="str">
        <f>'Order Calculation'!J48</f>
        <v/>
      </c>
      <c r="L21" s="12">
        <f>'Order Calculation'!K48</f>
        <v>10</v>
      </c>
      <c r="M21" s="12">
        <f>'Order Calculation'!L48</f>
        <v>2</v>
      </c>
      <c r="N21" s="12">
        <f>'Order Calculation'!M48</f>
        <v>6</v>
      </c>
      <c r="O21" s="12" t="str">
        <f>'Order Calculation'!N48</f>
        <v/>
      </c>
      <c r="P21" s="12" t="str">
        <f>'Order Calculation'!O48</f>
        <v/>
      </c>
      <c r="Q21" s="12" t="str">
        <f>'Order Calculation'!P48</f>
        <v/>
      </c>
      <c r="R21" s="12" t="str">
        <f>'Order Calculation'!Q48</f>
        <v/>
      </c>
      <c r="S21" s="13">
        <f>'Order Calculation'!V48/6</f>
        <v>1.333333333</v>
      </c>
      <c r="T21" s="13">
        <f t="shared" si="11"/>
        <v>4</v>
      </c>
      <c r="U21" s="13">
        <f t="shared" si="12"/>
        <v>2</v>
      </c>
      <c r="V21" s="14">
        <f t="shared" si="13"/>
        <v>6</v>
      </c>
      <c r="W21" s="14">
        <f>'Order Calculation'!Y48</f>
        <v>102</v>
      </c>
      <c r="X21" s="14">
        <f t="shared" si="4"/>
        <v>0</v>
      </c>
      <c r="Y21" s="15">
        <v>11.1</v>
      </c>
      <c r="Z21" s="16">
        <f t="shared" si="5"/>
        <v>1076.589</v>
      </c>
      <c r="AA21" s="16">
        <f t="shared" si="6"/>
        <v>473.69916</v>
      </c>
      <c r="AB21" s="17">
        <v>21.53</v>
      </c>
      <c r="AC21" s="16">
        <f t="shared" si="7"/>
        <v>1571.81816</v>
      </c>
      <c r="AD21" s="18">
        <f t="shared" si="8"/>
        <v>0</v>
      </c>
    </row>
    <row r="22" ht="15.0" customHeight="1">
      <c r="B22" s="10" t="s">
        <v>47</v>
      </c>
      <c r="C22" s="11" t="str">
        <f>'Order Calculation'!B47</f>
        <v>RETAIL</v>
      </c>
      <c r="D22" s="12" t="str">
        <f>'Order Calculation'!C47</f>
        <v/>
      </c>
      <c r="E22" s="12">
        <f>'Order Calculation'!D47</f>
        <v>1</v>
      </c>
      <c r="F22" s="12">
        <f>'Order Calculation'!E47</f>
        <v>10</v>
      </c>
      <c r="G22" s="12">
        <f>'Order Calculation'!F47</f>
        <v>6</v>
      </c>
      <c r="H22" s="12">
        <f>'Order Calculation'!G47</f>
        <v>5</v>
      </c>
      <c r="I22" s="12" t="str">
        <f>'Order Calculation'!H47</f>
        <v/>
      </c>
      <c r="J22" s="12">
        <f>'Order Calculation'!I47</f>
        <v>1</v>
      </c>
      <c r="K22" s="12" t="str">
        <f>'Order Calculation'!J47</f>
        <v/>
      </c>
      <c r="L22" s="12">
        <f>'Order Calculation'!K47</f>
        <v>10</v>
      </c>
      <c r="M22" s="12">
        <f>'Order Calculation'!L47</f>
        <v>15</v>
      </c>
      <c r="N22" s="12" t="str">
        <f>'Order Calculation'!M47</f>
        <v/>
      </c>
      <c r="O22" s="12">
        <f>'Order Calculation'!N47</f>
        <v>1</v>
      </c>
      <c r="P22" s="12" t="str">
        <f>'Order Calculation'!O47</f>
        <v/>
      </c>
      <c r="Q22" s="12">
        <f>'Order Calculation'!P47</f>
        <v>7</v>
      </c>
      <c r="R22" s="12" t="str">
        <f>'Order Calculation'!Q47</f>
        <v/>
      </c>
      <c r="S22" s="13">
        <f>'Order Calculation'!V47/6</f>
        <v>3.833333333</v>
      </c>
      <c r="T22" s="13">
        <f t="shared" si="11"/>
        <v>11.5</v>
      </c>
      <c r="U22" s="13">
        <f t="shared" si="12"/>
        <v>5.75</v>
      </c>
      <c r="V22" s="14">
        <f t="shared" si="13"/>
        <v>18</v>
      </c>
      <c r="W22" s="14">
        <f>'Order Calculation'!Y47</f>
        <v>102</v>
      </c>
      <c r="X22" s="14">
        <f t="shared" si="4"/>
        <v>0</v>
      </c>
      <c r="Y22" s="15">
        <v>11.1</v>
      </c>
      <c r="Z22" s="16">
        <f t="shared" si="5"/>
        <v>1076.589</v>
      </c>
      <c r="AA22" s="16">
        <f t="shared" si="6"/>
        <v>473.69916</v>
      </c>
      <c r="AB22" s="17">
        <v>21.53</v>
      </c>
      <c r="AC22" s="16">
        <f t="shared" si="7"/>
        <v>1571.81816</v>
      </c>
      <c r="AD22" s="18">
        <f t="shared" si="8"/>
        <v>0</v>
      </c>
    </row>
    <row r="23" ht="15.0" customHeight="1">
      <c r="B23" s="10" t="s">
        <v>48</v>
      </c>
      <c r="C23" s="11" t="str">
        <f>'Order Calculation'!B46</f>
        <v>RETAIL</v>
      </c>
      <c r="D23" s="12">
        <f>'Order Calculation'!C46</f>
        <v>1</v>
      </c>
      <c r="E23" s="12">
        <f>'Order Calculation'!D46</f>
        <v>1</v>
      </c>
      <c r="F23" s="12">
        <f>'Order Calculation'!E46</f>
        <v>5</v>
      </c>
      <c r="G23" s="12">
        <f>'Order Calculation'!F46</f>
        <v>14</v>
      </c>
      <c r="H23" s="12">
        <f>'Order Calculation'!G46</f>
        <v>2</v>
      </c>
      <c r="I23" s="12">
        <f>'Order Calculation'!H46</f>
        <v>6</v>
      </c>
      <c r="J23" s="12">
        <f>'Order Calculation'!I46</f>
        <v>1</v>
      </c>
      <c r="K23" s="12">
        <f>'Order Calculation'!J46</f>
        <v>2</v>
      </c>
      <c r="L23" s="12">
        <f>'Order Calculation'!K46</f>
        <v>23</v>
      </c>
      <c r="M23" s="12">
        <f>'Order Calculation'!L46</f>
        <v>4</v>
      </c>
      <c r="N23" s="12">
        <f>'Order Calculation'!M46</f>
        <v>1</v>
      </c>
      <c r="O23" s="12" t="str">
        <f>'Order Calculation'!N46</f>
        <v/>
      </c>
      <c r="P23" s="12">
        <f>'Order Calculation'!O46</f>
        <v>1</v>
      </c>
      <c r="Q23" s="12">
        <f>'Order Calculation'!P46</f>
        <v>4</v>
      </c>
      <c r="R23" s="12">
        <f>'Order Calculation'!Q46</f>
        <v>2</v>
      </c>
      <c r="S23" s="13">
        <f>'Order Calculation'!V46/6</f>
        <v>2</v>
      </c>
      <c r="T23" s="13">
        <f t="shared" si="11"/>
        <v>6</v>
      </c>
      <c r="U23" s="13">
        <f t="shared" si="12"/>
        <v>3</v>
      </c>
      <c r="V23" s="14">
        <f t="shared" si="13"/>
        <v>9</v>
      </c>
      <c r="W23" s="14">
        <f>'Order Calculation'!Y46</f>
        <v>102</v>
      </c>
      <c r="X23" s="14">
        <f t="shared" si="4"/>
        <v>0</v>
      </c>
      <c r="Y23" s="15">
        <v>11.1</v>
      </c>
      <c r="Z23" s="16">
        <f t="shared" si="5"/>
        <v>1076.589</v>
      </c>
      <c r="AA23" s="16">
        <f t="shared" si="6"/>
        <v>473.69916</v>
      </c>
      <c r="AB23" s="17">
        <v>21.53</v>
      </c>
      <c r="AC23" s="16">
        <f t="shared" si="7"/>
        <v>1571.81816</v>
      </c>
      <c r="AD23" s="18">
        <f t="shared" si="8"/>
        <v>0</v>
      </c>
    </row>
    <row r="24" ht="15.0" customHeight="1">
      <c r="B24" s="10" t="s">
        <v>49</v>
      </c>
      <c r="C24" s="11" t="str">
        <f>'Order Calculation'!B45</f>
        <v>Accessory</v>
      </c>
      <c r="D24" s="12">
        <f>'Order Calculation'!C45</f>
        <v>2</v>
      </c>
      <c r="E24" s="12">
        <f>'Order Calculation'!D45</f>
        <v>18</v>
      </c>
      <c r="F24" s="12">
        <f>'Order Calculation'!E45</f>
        <v>10</v>
      </c>
      <c r="G24" s="12">
        <f>'Order Calculation'!F45</f>
        <v>13</v>
      </c>
      <c r="H24" s="12">
        <f>'Order Calculation'!G45</f>
        <v>9</v>
      </c>
      <c r="I24" s="12">
        <f>'Order Calculation'!H45</f>
        <v>11</v>
      </c>
      <c r="J24" s="12">
        <f>'Order Calculation'!I45</f>
        <v>2</v>
      </c>
      <c r="K24" s="12">
        <f>'Order Calculation'!J45</f>
        <v>3</v>
      </c>
      <c r="L24" s="12">
        <f>'Order Calculation'!K45</f>
        <v>6</v>
      </c>
      <c r="M24" s="12">
        <f>'Order Calculation'!L45</f>
        <v>5</v>
      </c>
      <c r="N24" s="12">
        <f>'Order Calculation'!M45</f>
        <v>9</v>
      </c>
      <c r="O24" s="12">
        <f>'Order Calculation'!N45</f>
        <v>8</v>
      </c>
      <c r="P24" s="12">
        <f>'Order Calculation'!O45</f>
        <v>6</v>
      </c>
      <c r="Q24" s="12">
        <f>'Order Calculation'!P45</f>
        <v>2</v>
      </c>
      <c r="R24" s="12">
        <f>'Order Calculation'!Q45</f>
        <v>10</v>
      </c>
      <c r="S24" s="13">
        <f>'Order Calculation'!V45/6</f>
        <v>6.666666667</v>
      </c>
      <c r="T24" s="13">
        <f>V24*0.7</f>
        <v>70</v>
      </c>
      <c r="U24" s="13">
        <f>V24*0.3</f>
        <v>30</v>
      </c>
      <c r="V24" s="19">
        <v>100.0</v>
      </c>
      <c r="W24" s="14">
        <f>'Order Calculation'!Y45</f>
        <v>149</v>
      </c>
      <c r="X24" s="14">
        <f t="shared" si="4"/>
        <v>0</v>
      </c>
      <c r="Y24" s="20"/>
      <c r="Z24" s="16">
        <f t="shared" si="5"/>
        <v>0</v>
      </c>
      <c r="AA24" s="16">
        <f t="shared" si="6"/>
        <v>0</v>
      </c>
      <c r="AB24" s="17">
        <v>66.93</v>
      </c>
      <c r="AC24" s="16">
        <f t="shared" si="7"/>
        <v>66.93</v>
      </c>
      <c r="AD24" s="18">
        <f t="shared" si="8"/>
        <v>0</v>
      </c>
    </row>
    <row r="25" ht="15.0" customHeight="1">
      <c r="B25" s="10" t="s">
        <v>50</v>
      </c>
      <c r="C25" s="11" t="str">
        <f>'Order Calculation'!B44</f>
        <v>JAR</v>
      </c>
      <c r="D25" s="12">
        <f>'Order Calculation'!C44</f>
        <v>2</v>
      </c>
      <c r="E25" s="12">
        <f>'Order Calculation'!D44</f>
        <v>3</v>
      </c>
      <c r="F25" s="12" t="str">
        <f>'Order Calculation'!E44</f>
        <v/>
      </c>
      <c r="G25" s="12">
        <f>'Order Calculation'!F44</f>
        <v>1</v>
      </c>
      <c r="H25" s="12" t="str">
        <f>'Order Calculation'!G44</f>
        <v/>
      </c>
      <c r="I25" s="12">
        <f>'Order Calculation'!H44</f>
        <v>2</v>
      </c>
      <c r="J25" s="12">
        <f>'Order Calculation'!I44</f>
        <v>1</v>
      </c>
      <c r="K25" s="12">
        <f>'Order Calculation'!J44</f>
        <v>4</v>
      </c>
      <c r="L25" s="12">
        <f>'Order Calculation'!K44</f>
        <v>48</v>
      </c>
      <c r="M25" s="12" t="str">
        <f>'Order Calculation'!L44</f>
        <v/>
      </c>
      <c r="N25" s="12">
        <f>'Order Calculation'!M44</f>
        <v>2</v>
      </c>
      <c r="O25" s="12">
        <f>'Order Calculation'!N44</f>
        <v>1</v>
      </c>
      <c r="P25" s="12">
        <f>'Order Calculation'!O44</f>
        <v>3</v>
      </c>
      <c r="Q25" s="12">
        <f>'Order Calculation'!P44</f>
        <v>1</v>
      </c>
      <c r="R25" s="12" t="str">
        <f>'Order Calculation'!Q44</f>
        <v/>
      </c>
      <c r="S25" s="13">
        <f>'Order Calculation'!V44/6</f>
        <v>1.166666667</v>
      </c>
      <c r="T25" s="13">
        <f t="shared" ref="T25:T26" si="14">S25*$D$5</f>
        <v>3.5</v>
      </c>
      <c r="U25" s="13">
        <f t="shared" ref="U25:U26" si="15">S25*$D$6</f>
        <v>1.75</v>
      </c>
      <c r="V25" s="14">
        <f t="shared" ref="V25:V26" si="16">ROUNDUP(T25+U25,0)</f>
        <v>6</v>
      </c>
      <c r="W25" s="14">
        <f>'Order Calculation'!Y44</f>
        <v>71</v>
      </c>
      <c r="X25" s="14">
        <f t="shared" si="4"/>
        <v>0</v>
      </c>
      <c r="Y25" s="15">
        <v>13.8</v>
      </c>
      <c r="Z25" s="16">
        <f t="shared" si="5"/>
        <v>1338.462</v>
      </c>
      <c r="AA25" s="16">
        <f t="shared" si="6"/>
        <v>588.92328</v>
      </c>
      <c r="AB25" s="17">
        <v>66.93</v>
      </c>
      <c r="AC25" s="16">
        <f t="shared" si="7"/>
        <v>1994.31528</v>
      </c>
      <c r="AD25" s="18">
        <f t="shared" si="8"/>
        <v>0</v>
      </c>
    </row>
    <row r="26" ht="15.0" customHeight="1">
      <c r="B26" s="10" t="s">
        <v>51</v>
      </c>
      <c r="C26" s="11" t="str">
        <f>'Order Calculation'!B43</f>
        <v>JAR</v>
      </c>
      <c r="D26" s="12">
        <f>'Order Calculation'!C43</f>
        <v>4</v>
      </c>
      <c r="E26" s="12">
        <f>'Order Calculation'!D43</f>
        <v>28</v>
      </c>
      <c r="F26" s="12">
        <f>'Order Calculation'!E43</f>
        <v>19</v>
      </c>
      <c r="G26" s="12">
        <f>'Order Calculation'!F43</f>
        <v>20</v>
      </c>
      <c r="H26" s="12">
        <f>'Order Calculation'!G43</f>
        <v>17</v>
      </c>
      <c r="I26" s="12">
        <f>'Order Calculation'!H43</f>
        <v>30</v>
      </c>
      <c r="J26" s="12">
        <f>'Order Calculation'!I43</f>
        <v>21</v>
      </c>
      <c r="K26" s="12">
        <f>'Order Calculation'!J43</f>
        <v>18</v>
      </c>
      <c r="L26" s="12">
        <f>'Order Calculation'!K43</f>
        <v>61</v>
      </c>
      <c r="M26" s="12">
        <f>'Order Calculation'!L43</f>
        <v>9</v>
      </c>
      <c r="N26" s="12">
        <f>'Order Calculation'!M43</f>
        <v>29</v>
      </c>
      <c r="O26" s="12">
        <f>'Order Calculation'!N43</f>
        <v>13</v>
      </c>
      <c r="P26" s="12">
        <f>'Order Calculation'!O43</f>
        <v>17</v>
      </c>
      <c r="Q26" s="12">
        <f>'Order Calculation'!P43</f>
        <v>26</v>
      </c>
      <c r="R26" s="12">
        <f>'Order Calculation'!Q43</f>
        <v>20</v>
      </c>
      <c r="S26" s="13">
        <f>'Order Calculation'!V43/6</f>
        <v>19</v>
      </c>
      <c r="T26" s="13">
        <f t="shared" si="14"/>
        <v>57</v>
      </c>
      <c r="U26" s="13">
        <f t="shared" si="15"/>
        <v>28.5</v>
      </c>
      <c r="V26" s="14">
        <f t="shared" si="16"/>
        <v>86</v>
      </c>
      <c r="W26" s="14">
        <f>'Order Calculation'!Y43</f>
        <v>130</v>
      </c>
      <c r="X26" s="14">
        <f t="shared" si="4"/>
        <v>0</v>
      </c>
      <c r="Y26" s="15">
        <v>13.8</v>
      </c>
      <c r="Z26" s="16">
        <f t="shared" si="5"/>
        <v>1338.462</v>
      </c>
      <c r="AA26" s="16">
        <f t="shared" si="6"/>
        <v>588.92328</v>
      </c>
      <c r="AB26" s="17">
        <v>66.93</v>
      </c>
      <c r="AC26" s="16">
        <f t="shared" si="7"/>
        <v>1994.31528</v>
      </c>
      <c r="AD26" s="18">
        <f t="shared" si="8"/>
        <v>0</v>
      </c>
    </row>
    <row r="27" ht="15.0" customHeight="1">
      <c r="B27" s="10" t="s">
        <v>52</v>
      </c>
      <c r="C27" s="11" t="str">
        <f>'Order Calculation'!B42</f>
        <v>Accessory</v>
      </c>
      <c r="D27" s="12">
        <f>'Order Calculation'!C42</f>
        <v>2</v>
      </c>
      <c r="E27" s="12">
        <f>'Order Calculation'!D42</f>
        <v>5</v>
      </c>
      <c r="F27" s="12">
        <f>'Order Calculation'!E42</f>
        <v>4</v>
      </c>
      <c r="G27" s="12">
        <f>'Order Calculation'!F42</f>
        <v>5</v>
      </c>
      <c r="H27" s="12">
        <f>'Order Calculation'!G42</f>
        <v>2</v>
      </c>
      <c r="I27" s="12">
        <f>'Order Calculation'!H42</f>
        <v>3</v>
      </c>
      <c r="J27" s="12" t="str">
        <f>'Order Calculation'!I42</f>
        <v/>
      </c>
      <c r="K27" s="12" t="str">
        <f>'Order Calculation'!J42</f>
        <v/>
      </c>
      <c r="L27" s="12">
        <f>'Order Calculation'!K42</f>
        <v>2</v>
      </c>
      <c r="M27" s="12">
        <f>'Order Calculation'!L42</f>
        <v>1</v>
      </c>
      <c r="N27" s="12">
        <f>'Order Calculation'!M42</f>
        <v>1</v>
      </c>
      <c r="O27" s="12" t="str">
        <f>'Order Calculation'!N42</f>
        <v/>
      </c>
      <c r="P27" s="12">
        <f>'Order Calculation'!O42</f>
        <v>1</v>
      </c>
      <c r="Q27" s="12">
        <f>'Order Calculation'!P42</f>
        <v>2</v>
      </c>
      <c r="R27" s="12">
        <f>'Order Calculation'!Q42</f>
        <v>1</v>
      </c>
      <c r="S27" s="13">
        <f>'Order Calculation'!V42/6</f>
        <v>1</v>
      </c>
      <c r="T27" s="13">
        <f>V27*0.7</f>
        <v>21</v>
      </c>
      <c r="U27" s="13">
        <f>V27*0.3</f>
        <v>9</v>
      </c>
      <c r="V27" s="19">
        <v>30.0</v>
      </c>
      <c r="W27" s="14">
        <f>'Order Calculation'!Y42</f>
        <v>83</v>
      </c>
      <c r="X27" s="14">
        <f t="shared" si="4"/>
        <v>0</v>
      </c>
      <c r="Y27" s="20"/>
      <c r="Z27" s="16">
        <f t="shared" si="5"/>
        <v>0</v>
      </c>
      <c r="AA27" s="16">
        <f t="shared" si="6"/>
        <v>0</v>
      </c>
      <c r="AB27" s="17">
        <v>66.93</v>
      </c>
      <c r="AC27" s="16">
        <f t="shared" si="7"/>
        <v>66.93</v>
      </c>
      <c r="AD27" s="18">
        <f t="shared" si="8"/>
        <v>0</v>
      </c>
    </row>
    <row r="28" ht="15.0" customHeight="1">
      <c r="B28" s="10" t="s">
        <v>53</v>
      </c>
      <c r="C28" s="11" t="str">
        <f>'Order Calculation'!B41</f>
        <v>JAR</v>
      </c>
      <c r="D28" s="12">
        <f>'Order Calculation'!C41</f>
        <v>3</v>
      </c>
      <c r="E28" s="12">
        <f>'Order Calculation'!D41</f>
        <v>5</v>
      </c>
      <c r="F28" s="12">
        <f>'Order Calculation'!E41</f>
        <v>12</v>
      </c>
      <c r="G28" s="12">
        <f>'Order Calculation'!F41</f>
        <v>3</v>
      </c>
      <c r="H28" s="12" t="str">
        <f>'Order Calculation'!G41</f>
        <v/>
      </c>
      <c r="I28" s="12">
        <f>'Order Calculation'!H41</f>
        <v>3</v>
      </c>
      <c r="J28" s="12" t="str">
        <f>'Order Calculation'!I41</f>
        <v/>
      </c>
      <c r="K28" s="12" t="str">
        <f>'Order Calculation'!J41</f>
        <v/>
      </c>
      <c r="L28" s="12">
        <f>'Order Calculation'!K41</f>
        <v>2</v>
      </c>
      <c r="M28" s="12">
        <f>'Order Calculation'!L41</f>
        <v>3</v>
      </c>
      <c r="N28" s="12" t="str">
        <f>'Order Calculation'!M41</f>
        <v/>
      </c>
      <c r="O28" s="12">
        <f>'Order Calculation'!N41</f>
        <v>1</v>
      </c>
      <c r="P28" s="12">
        <f>'Order Calculation'!O41</f>
        <v>4</v>
      </c>
      <c r="Q28" s="12">
        <f>'Order Calculation'!P41</f>
        <v>2</v>
      </c>
      <c r="R28" s="12" t="str">
        <f>'Order Calculation'!Q41</f>
        <v/>
      </c>
      <c r="S28" s="13">
        <f>'Order Calculation'!V41/6</f>
        <v>1.666666667</v>
      </c>
      <c r="T28" s="13">
        <f t="shared" ref="T28:T32" si="17">S28*$D$5</f>
        <v>5</v>
      </c>
      <c r="U28" s="13">
        <f t="shared" ref="U28:U32" si="18">S28*$D$6</f>
        <v>2.5</v>
      </c>
      <c r="V28" s="14">
        <f t="shared" ref="V28:V32" si="19">ROUNDUP(T28+U28,0)</f>
        <v>8</v>
      </c>
      <c r="W28" s="14">
        <f>'Order Calculation'!Y41</f>
        <v>67</v>
      </c>
      <c r="X28" s="14">
        <f t="shared" si="4"/>
        <v>0</v>
      </c>
      <c r="Y28" s="15">
        <v>24.0</v>
      </c>
      <c r="Z28" s="16">
        <f t="shared" si="5"/>
        <v>2327.76</v>
      </c>
      <c r="AA28" s="16">
        <f t="shared" si="6"/>
        <v>1024.2144</v>
      </c>
      <c r="AB28" s="17">
        <v>66.93</v>
      </c>
      <c r="AC28" s="16">
        <f t="shared" si="7"/>
        <v>3418.9044</v>
      </c>
      <c r="AD28" s="18">
        <f t="shared" si="8"/>
        <v>0</v>
      </c>
    </row>
    <row r="29" ht="15.0" customHeight="1">
      <c r="B29" s="10" t="s">
        <v>54</v>
      </c>
      <c r="C29" s="11" t="str">
        <f>'Order Calculation'!B40</f>
        <v>JAR</v>
      </c>
      <c r="D29" s="12">
        <f>'Order Calculation'!C40</f>
        <v>3</v>
      </c>
      <c r="E29" s="12">
        <f>'Order Calculation'!D40</f>
        <v>5</v>
      </c>
      <c r="F29" s="12">
        <f>'Order Calculation'!E40</f>
        <v>11</v>
      </c>
      <c r="G29" s="12">
        <f>'Order Calculation'!F40</f>
        <v>6</v>
      </c>
      <c r="H29" s="12">
        <f>'Order Calculation'!G40</f>
        <v>2</v>
      </c>
      <c r="I29" s="12">
        <f>'Order Calculation'!H40</f>
        <v>3</v>
      </c>
      <c r="J29" s="12">
        <f>'Order Calculation'!I40</f>
        <v>1</v>
      </c>
      <c r="K29" s="12" t="str">
        <f>'Order Calculation'!J40</f>
        <v/>
      </c>
      <c r="L29" s="12" t="str">
        <f>'Order Calculation'!K40</f>
        <v/>
      </c>
      <c r="M29" s="12">
        <f>'Order Calculation'!L40</f>
        <v>2</v>
      </c>
      <c r="N29" s="12">
        <f>'Order Calculation'!M40</f>
        <v>2</v>
      </c>
      <c r="O29" s="12">
        <f>'Order Calculation'!N40</f>
        <v>3</v>
      </c>
      <c r="P29" s="12">
        <f>'Order Calculation'!O40</f>
        <v>2</v>
      </c>
      <c r="Q29" s="12">
        <f>'Order Calculation'!P40</f>
        <v>7</v>
      </c>
      <c r="R29" s="12">
        <f>'Order Calculation'!Q40</f>
        <v>5</v>
      </c>
      <c r="S29" s="13">
        <f>'Order Calculation'!V40/6</f>
        <v>3.5</v>
      </c>
      <c r="T29" s="13">
        <f t="shared" si="17"/>
        <v>10.5</v>
      </c>
      <c r="U29" s="13">
        <f t="shared" si="18"/>
        <v>5.25</v>
      </c>
      <c r="V29" s="14">
        <f t="shared" si="19"/>
        <v>16</v>
      </c>
      <c r="W29" s="14">
        <f>'Order Calculation'!Y40</f>
        <v>65</v>
      </c>
      <c r="X29" s="14">
        <f t="shared" si="4"/>
        <v>0</v>
      </c>
      <c r="Y29" s="15">
        <v>13.8</v>
      </c>
      <c r="Z29" s="16">
        <f t="shared" si="5"/>
        <v>1338.462</v>
      </c>
      <c r="AA29" s="16">
        <f t="shared" si="6"/>
        <v>588.92328</v>
      </c>
      <c r="AB29" s="17">
        <v>66.93</v>
      </c>
      <c r="AC29" s="16">
        <f t="shared" si="7"/>
        <v>1994.31528</v>
      </c>
      <c r="AD29" s="18">
        <f t="shared" si="8"/>
        <v>0</v>
      </c>
    </row>
    <row r="30" ht="15.0" customHeight="1">
      <c r="B30" s="10" t="s">
        <v>55</v>
      </c>
      <c r="C30" s="11" t="str">
        <f>'Order Calculation'!B39</f>
        <v>JAR</v>
      </c>
      <c r="D30" s="12">
        <f>'Order Calculation'!C39</f>
        <v>2</v>
      </c>
      <c r="E30" s="12">
        <f>'Order Calculation'!D39</f>
        <v>3</v>
      </c>
      <c r="F30" s="12">
        <f>'Order Calculation'!E39</f>
        <v>9</v>
      </c>
      <c r="G30" s="12">
        <f>'Order Calculation'!F39</f>
        <v>1</v>
      </c>
      <c r="H30" s="12">
        <f>'Order Calculation'!G39</f>
        <v>1</v>
      </c>
      <c r="I30" s="12">
        <f>'Order Calculation'!H39</f>
        <v>1</v>
      </c>
      <c r="J30" s="12">
        <f>'Order Calculation'!I39</f>
        <v>1</v>
      </c>
      <c r="K30" s="12" t="str">
        <f>'Order Calculation'!J39</f>
        <v/>
      </c>
      <c r="L30" s="12">
        <f>'Order Calculation'!K39</f>
        <v>37</v>
      </c>
      <c r="M30" s="12" t="str">
        <f>'Order Calculation'!L39</f>
        <v/>
      </c>
      <c r="N30" s="12">
        <f>'Order Calculation'!M39</f>
        <v>3</v>
      </c>
      <c r="O30" s="12">
        <f>'Order Calculation'!N39</f>
        <v>1</v>
      </c>
      <c r="P30" s="12">
        <f>'Order Calculation'!O39</f>
        <v>2</v>
      </c>
      <c r="Q30" s="12">
        <f>'Order Calculation'!P39</f>
        <v>1</v>
      </c>
      <c r="R30" s="12">
        <f>'Order Calculation'!Q39</f>
        <v>1</v>
      </c>
      <c r="S30" s="13">
        <f>'Order Calculation'!V39/6</f>
        <v>1.333333333</v>
      </c>
      <c r="T30" s="13">
        <f t="shared" si="17"/>
        <v>4</v>
      </c>
      <c r="U30" s="13">
        <f t="shared" si="18"/>
        <v>2</v>
      </c>
      <c r="V30" s="14">
        <f t="shared" si="19"/>
        <v>6</v>
      </c>
      <c r="W30" s="14">
        <f>'Order Calculation'!Y39</f>
        <v>54</v>
      </c>
      <c r="X30" s="14">
        <f t="shared" si="4"/>
        <v>0</v>
      </c>
      <c r="Y30" s="15">
        <v>13.8</v>
      </c>
      <c r="Z30" s="16">
        <f t="shared" si="5"/>
        <v>1338.462</v>
      </c>
      <c r="AA30" s="16">
        <f t="shared" si="6"/>
        <v>588.92328</v>
      </c>
      <c r="AB30" s="17">
        <v>66.93</v>
      </c>
      <c r="AC30" s="16">
        <f t="shared" si="7"/>
        <v>1994.31528</v>
      </c>
      <c r="AD30" s="18">
        <f t="shared" si="8"/>
        <v>0</v>
      </c>
    </row>
    <row r="31" ht="15.0" customHeight="1">
      <c r="B31" s="10" t="s">
        <v>56</v>
      </c>
      <c r="C31" s="11" t="str">
        <f>'Order Calculation'!B38</f>
        <v>JAR</v>
      </c>
      <c r="D31" s="12" t="str">
        <f>'Order Calculation'!C38</f>
        <v/>
      </c>
      <c r="E31" s="12">
        <f>'Order Calculation'!D38</f>
        <v>5</v>
      </c>
      <c r="F31" s="12">
        <f>'Order Calculation'!E38</f>
        <v>11</v>
      </c>
      <c r="G31" s="12">
        <f>'Order Calculation'!F38</f>
        <v>5</v>
      </c>
      <c r="H31" s="12">
        <f>'Order Calculation'!G38</f>
        <v>5</v>
      </c>
      <c r="I31" s="12">
        <f>'Order Calculation'!H38</f>
        <v>3</v>
      </c>
      <c r="J31" s="12">
        <f>'Order Calculation'!I38</f>
        <v>4</v>
      </c>
      <c r="K31" s="12">
        <f>'Order Calculation'!J38</f>
        <v>2</v>
      </c>
      <c r="L31" s="12">
        <f>'Order Calculation'!K38</f>
        <v>3</v>
      </c>
      <c r="M31" s="12">
        <f>'Order Calculation'!L38</f>
        <v>2</v>
      </c>
      <c r="N31" s="12" t="str">
        <f>'Order Calculation'!M38</f>
        <v/>
      </c>
      <c r="O31" s="12">
        <f>'Order Calculation'!N38</f>
        <v>3</v>
      </c>
      <c r="P31" s="12">
        <f>'Order Calculation'!O38</f>
        <v>2</v>
      </c>
      <c r="Q31" s="12">
        <f>'Order Calculation'!P38</f>
        <v>2</v>
      </c>
      <c r="R31" s="12" t="str">
        <f>'Order Calculation'!Q38</f>
        <v/>
      </c>
      <c r="S31" s="13">
        <f>'Order Calculation'!V38/6</f>
        <v>1.5</v>
      </c>
      <c r="T31" s="13">
        <f t="shared" si="17"/>
        <v>4.5</v>
      </c>
      <c r="U31" s="13">
        <f t="shared" si="18"/>
        <v>2.25</v>
      </c>
      <c r="V31" s="14">
        <f t="shared" si="19"/>
        <v>7</v>
      </c>
      <c r="W31" s="14">
        <f>'Order Calculation'!Y38</f>
        <v>53</v>
      </c>
      <c r="X31" s="14">
        <f t="shared" si="4"/>
        <v>0</v>
      </c>
      <c r="Y31" s="15">
        <v>13.8</v>
      </c>
      <c r="Z31" s="16">
        <f t="shared" si="5"/>
        <v>1338.462</v>
      </c>
      <c r="AA31" s="16">
        <f t="shared" si="6"/>
        <v>588.92328</v>
      </c>
      <c r="AB31" s="17">
        <v>66.93</v>
      </c>
      <c r="AC31" s="16">
        <f t="shared" si="7"/>
        <v>1994.31528</v>
      </c>
      <c r="AD31" s="18">
        <f t="shared" si="8"/>
        <v>0</v>
      </c>
    </row>
    <row r="32" ht="15.0" customHeight="1">
      <c r="B32" s="10" t="s">
        <v>57</v>
      </c>
      <c r="C32" s="11" t="str">
        <f>'Order Calculation'!B37</f>
        <v>JAR</v>
      </c>
      <c r="D32" s="12">
        <f>'Order Calculation'!C37</f>
        <v>1</v>
      </c>
      <c r="E32" s="12">
        <f>'Order Calculation'!D37</f>
        <v>1</v>
      </c>
      <c r="F32" s="12">
        <f>'Order Calculation'!E37</f>
        <v>7</v>
      </c>
      <c r="G32" s="12">
        <f>'Order Calculation'!F37</f>
        <v>2</v>
      </c>
      <c r="H32" s="12" t="str">
        <f>'Order Calculation'!G37</f>
        <v/>
      </c>
      <c r="I32" s="12" t="str">
        <f>'Order Calculation'!H37</f>
        <v/>
      </c>
      <c r="J32" s="12">
        <f>'Order Calculation'!I37</f>
        <v>2</v>
      </c>
      <c r="K32" s="12" t="str">
        <f>'Order Calculation'!J37</f>
        <v/>
      </c>
      <c r="L32" s="12">
        <f>'Order Calculation'!K37</f>
        <v>5</v>
      </c>
      <c r="M32" s="12" t="str">
        <f>'Order Calculation'!L37</f>
        <v/>
      </c>
      <c r="N32" s="12">
        <f>'Order Calculation'!M37</f>
        <v>2</v>
      </c>
      <c r="O32" s="12">
        <f>'Order Calculation'!N37</f>
        <v>1</v>
      </c>
      <c r="P32" s="12">
        <f>'Order Calculation'!O37</f>
        <v>1</v>
      </c>
      <c r="Q32" s="12">
        <f>'Order Calculation'!P37</f>
        <v>3</v>
      </c>
      <c r="R32" s="12" t="str">
        <f>'Order Calculation'!Q37</f>
        <v/>
      </c>
      <c r="S32" s="13">
        <f>'Order Calculation'!V37/6</f>
        <v>1.166666667</v>
      </c>
      <c r="T32" s="13">
        <f t="shared" si="17"/>
        <v>3.5</v>
      </c>
      <c r="U32" s="13">
        <f t="shared" si="18"/>
        <v>1.75</v>
      </c>
      <c r="V32" s="14">
        <f t="shared" si="19"/>
        <v>6</v>
      </c>
      <c r="W32" s="14">
        <f>'Order Calculation'!Y37</f>
        <v>52</v>
      </c>
      <c r="X32" s="14">
        <f t="shared" si="4"/>
        <v>0</v>
      </c>
      <c r="Y32" s="15">
        <v>13.8</v>
      </c>
      <c r="Z32" s="16">
        <f t="shared" si="5"/>
        <v>1338.462</v>
      </c>
      <c r="AA32" s="16">
        <f t="shared" si="6"/>
        <v>588.92328</v>
      </c>
      <c r="AB32" s="17">
        <v>66.93</v>
      </c>
      <c r="AC32" s="16">
        <f t="shared" si="7"/>
        <v>1994.31528</v>
      </c>
      <c r="AD32" s="18">
        <f t="shared" si="8"/>
        <v>0</v>
      </c>
    </row>
    <row r="33" ht="15.0" customHeight="1">
      <c r="B33" s="10" t="s">
        <v>58</v>
      </c>
      <c r="C33" s="11" t="str">
        <f>'Order Calculation'!B36</f>
        <v>Accessory</v>
      </c>
      <c r="D33" s="12">
        <f>'Order Calculation'!C36</f>
        <v>2</v>
      </c>
      <c r="E33" s="12">
        <f>'Order Calculation'!D36</f>
        <v>14</v>
      </c>
      <c r="F33" s="12">
        <f>'Order Calculation'!E36</f>
        <v>8</v>
      </c>
      <c r="G33" s="12">
        <f>'Order Calculation'!F36</f>
        <v>2</v>
      </c>
      <c r="H33" s="12">
        <f>'Order Calculation'!G36</f>
        <v>6</v>
      </c>
      <c r="I33" s="12">
        <f>'Order Calculation'!H36</f>
        <v>6</v>
      </c>
      <c r="J33" s="12">
        <f>'Order Calculation'!I36</f>
        <v>9</v>
      </c>
      <c r="K33" s="12">
        <f>'Order Calculation'!J36</f>
        <v>6</v>
      </c>
      <c r="L33" s="12">
        <f>'Order Calculation'!K36</f>
        <v>4</v>
      </c>
      <c r="M33" s="12">
        <f>'Order Calculation'!L36</f>
        <v>4</v>
      </c>
      <c r="N33" s="12">
        <f>'Order Calculation'!M36</f>
        <v>6</v>
      </c>
      <c r="O33" s="12">
        <f>'Order Calculation'!N36</f>
        <v>7</v>
      </c>
      <c r="P33" s="12">
        <f>'Order Calculation'!O36</f>
        <v>2</v>
      </c>
      <c r="Q33" s="12">
        <f>'Order Calculation'!P36</f>
        <v>3</v>
      </c>
      <c r="R33" s="12">
        <f>'Order Calculation'!Q36</f>
        <v>1</v>
      </c>
      <c r="S33" s="13">
        <f>'Order Calculation'!V36/6</f>
        <v>3.833333333</v>
      </c>
      <c r="T33" s="13">
        <f>V33*0.7</f>
        <v>35</v>
      </c>
      <c r="U33" s="13">
        <f>V33*0.3</f>
        <v>15</v>
      </c>
      <c r="V33" s="19">
        <v>50.0</v>
      </c>
      <c r="W33" s="14">
        <f>'Order Calculation'!Y36</f>
        <v>68</v>
      </c>
      <c r="X33" s="14">
        <f t="shared" si="4"/>
        <v>0</v>
      </c>
      <c r="Y33" s="20"/>
      <c r="Z33" s="16">
        <f t="shared" si="5"/>
        <v>0</v>
      </c>
      <c r="AA33" s="16">
        <f t="shared" si="6"/>
        <v>0</v>
      </c>
      <c r="AB33" s="17">
        <v>66.93</v>
      </c>
      <c r="AC33" s="16">
        <f t="shared" si="7"/>
        <v>66.93</v>
      </c>
      <c r="AD33" s="18">
        <f t="shared" si="8"/>
        <v>0</v>
      </c>
    </row>
    <row r="34" ht="15.0" customHeight="1">
      <c r="B34" s="10" t="s">
        <v>59</v>
      </c>
      <c r="C34" s="11" t="str">
        <f>'Order Calculation'!B35</f>
        <v>RETAIL</v>
      </c>
      <c r="D34" s="12" t="str">
        <f>'Order Calculation'!C35</f>
        <v/>
      </c>
      <c r="E34" s="12">
        <f>'Order Calculation'!D35</f>
        <v>1</v>
      </c>
      <c r="F34" s="12" t="str">
        <f>'Order Calculation'!E35</f>
        <v/>
      </c>
      <c r="G34" s="12" t="str">
        <f>'Order Calculation'!F35</f>
        <v/>
      </c>
      <c r="H34" s="12" t="str">
        <f>'Order Calculation'!G35</f>
        <v/>
      </c>
      <c r="I34" s="12">
        <f>'Order Calculation'!H35</f>
        <v>4</v>
      </c>
      <c r="J34" s="12">
        <f>'Order Calculation'!I35</f>
        <v>1</v>
      </c>
      <c r="K34" s="12" t="str">
        <f>'Order Calculation'!J35</f>
        <v/>
      </c>
      <c r="L34" s="12">
        <f>'Order Calculation'!K35</f>
        <v>3</v>
      </c>
      <c r="M34" s="12">
        <f>'Order Calculation'!L35</f>
        <v>1</v>
      </c>
      <c r="N34" s="12" t="str">
        <f>'Order Calculation'!M35</f>
        <v/>
      </c>
      <c r="O34" s="12">
        <f>'Order Calculation'!N35</f>
        <v>1</v>
      </c>
      <c r="P34" s="12" t="str">
        <f>'Order Calculation'!O35</f>
        <v/>
      </c>
      <c r="Q34" s="12" t="str">
        <f>'Order Calculation'!P35</f>
        <v/>
      </c>
      <c r="R34" s="12" t="str">
        <f>'Order Calculation'!Q35</f>
        <v/>
      </c>
      <c r="S34" s="13">
        <f>'Order Calculation'!V35/6</f>
        <v>0.3333333333</v>
      </c>
      <c r="T34" s="13">
        <f>S34*$D$5</f>
        <v>1</v>
      </c>
      <c r="U34" s="13">
        <f>S34*$D$6</f>
        <v>0.5</v>
      </c>
      <c r="V34" s="14">
        <f>ROUNDUP(T34+U34,0)</f>
        <v>2</v>
      </c>
      <c r="W34" s="14">
        <f>'Order Calculation'!Y35</f>
        <v>46</v>
      </c>
      <c r="X34" s="14">
        <f t="shared" si="4"/>
        <v>0</v>
      </c>
      <c r="Y34" s="15">
        <v>11.1</v>
      </c>
      <c r="Z34" s="16">
        <f t="shared" si="5"/>
        <v>1076.589</v>
      </c>
      <c r="AA34" s="16">
        <f t="shared" si="6"/>
        <v>473.69916</v>
      </c>
      <c r="AB34" s="17">
        <v>21.53</v>
      </c>
      <c r="AC34" s="16">
        <f t="shared" si="7"/>
        <v>1571.81816</v>
      </c>
      <c r="AD34" s="18">
        <f t="shared" si="8"/>
        <v>0</v>
      </c>
    </row>
    <row r="35" ht="15.0" customHeight="1">
      <c r="B35" s="10" t="s">
        <v>60</v>
      </c>
      <c r="C35" s="11" t="str">
        <f>'Order Calculation'!B34</f>
        <v>Accessory</v>
      </c>
      <c r="D35" s="12" t="str">
        <f>'Order Calculation'!C34</f>
        <v/>
      </c>
      <c r="E35" s="12">
        <f>'Order Calculation'!D34</f>
        <v>2</v>
      </c>
      <c r="F35" s="12">
        <f>'Order Calculation'!E34</f>
        <v>1</v>
      </c>
      <c r="G35" s="12">
        <f>'Order Calculation'!F34</f>
        <v>1</v>
      </c>
      <c r="H35" s="12">
        <f>'Order Calculation'!G34</f>
        <v>2</v>
      </c>
      <c r="I35" s="12">
        <f>'Order Calculation'!H34</f>
        <v>1</v>
      </c>
      <c r="J35" s="12" t="str">
        <f>'Order Calculation'!I34</f>
        <v/>
      </c>
      <c r="K35" s="12" t="str">
        <f>'Order Calculation'!J34</f>
        <v/>
      </c>
      <c r="L35" s="12" t="str">
        <f>'Order Calculation'!K34</f>
        <v/>
      </c>
      <c r="M35" s="12" t="str">
        <f>'Order Calculation'!L34</f>
        <v/>
      </c>
      <c r="N35" s="12" t="str">
        <f>'Order Calculation'!M34</f>
        <v/>
      </c>
      <c r="O35" s="12" t="str">
        <f>'Order Calculation'!N34</f>
        <v/>
      </c>
      <c r="P35" s="12" t="str">
        <f>'Order Calculation'!O34</f>
        <v/>
      </c>
      <c r="Q35" s="12" t="str">
        <f>'Order Calculation'!P34</f>
        <v/>
      </c>
      <c r="R35" s="12" t="str">
        <f>'Order Calculation'!Q34</f>
        <v/>
      </c>
      <c r="S35" s="13">
        <f>'Order Calculation'!V34/6</f>
        <v>0</v>
      </c>
      <c r="T35" s="13">
        <f>V35*0.7</f>
        <v>21</v>
      </c>
      <c r="U35" s="13">
        <f>V35*0.3</f>
        <v>9</v>
      </c>
      <c r="V35" s="19">
        <v>30.0</v>
      </c>
      <c r="W35" s="14">
        <f>'Order Calculation'!Y34</f>
        <v>61</v>
      </c>
      <c r="X35" s="14">
        <f t="shared" si="4"/>
        <v>0</v>
      </c>
      <c r="Y35" s="20"/>
      <c r="Z35" s="16">
        <f t="shared" si="5"/>
        <v>0</v>
      </c>
      <c r="AA35" s="16">
        <f t="shared" si="6"/>
        <v>0</v>
      </c>
      <c r="AB35" s="17">
        <v>66.93</v>
      </c>
      <c r="AC35" s="16">
        <f t="shared" si="7"/>
        <v>66.93</v>
      </c>
      <c r="AD35" s="18">
        <f t="shared" si="8"/>
        <v>0</v>
      </c>
    </row>
    <row r="36" ht="15.0" customHeight="1">
      <c r="B36" s="10" t="s">
        <v>61</v>
      </c>
      <c r="C36" s="11" t="str">
        <f>'Order Calculation'!B33</f>
        <v>JAR</v>
      </c>
      <c r="D36" s="12">
        <f>'Order Calculation'!C33</f>
        <v>2</v>
      </c>
      <c r="E36" s="12">
        <f>'Order Calculation'!D33</f>
        <v>10</v>
      </c>
      <c r="F36" s="12">
        <f>'Order Calculation'!E33</f>
        <v>7</v>
      </c>
      <c r="G36" s="12">
        <f>'Order Calculation'!F33</f>
        <v>9</v>
      </c>
      <c r="H36" s="12">
        <f>'Order Calculation'!G33</f>
        <v>5</v>
      </c>
      <c r="I36" s="12">
        <f>'Order Calculation'!H33</f>
        <v>5</v>
      </c>
      <c r="J36" s="12">
        <f>'Order Calculation'!I33</f>
        <v>3</v>
      </c>
      <c r="K36" s="12">
        <f>'Order Calculation'!J33</f>
        <v>9</v>
      </c>
      <c r="L36" s="12">
        <f>'Order Calculation'!K33</f>
        <v>55</v>
      </c>
      <c r="M36" s="12">
        <f>'Order Calculation'!L33</f>
        <v>4</v>
      </c>
      <c r="N36" s="12">
        <f>'Order Calculation'!M33</f>
        <v>3</v>
      </c>
      <c r="O36" s="12">
        <f>'Order Calculation'!N33</f>
        <v>2</v>
      </c>
      <c r="P36" s="12">
        <f>'Order Calculation'!O33</f>
        <v>3</v>
      </c>
      <c r="Q36" s="12">
        <f>'Order Calculation'!P33</f>
        <v>4</v>
      </c>
      <c r="R36" s="12">
        <f>'Order Calculation'!Q33</f>
        <v>5</v>
      </c>
      <c r="S36" s="13">
        <f>'Order Calculation'!V33/6</f>
        <v>3.5</v>
      </c>
      <c r="T36" s="13">
        <f t="shared" ref="T36:T40" si="20">S36*$D$5</f>
        <v>10.5</v>
      </c>
      <c r="U36" s="13">
        <f t="shared" ref="U36:U40" si="21">S36*$D$6</f>
        <v>5.25</v>
      </c>
      <c r="V36" s="14">
        <f t="shared" ref="V36:V40" si="22">ROUNDUP(T36+U36,0)</f>
        <v>16</v>
      </c>
      <c r="W36" s="14">
        <f>'Order Calculation'!Y33</f>
        <v>55</v>
      </c>
      <c r="X36" s="14">
        <f t="shared" si="4"/>
        <v>0</v>
      </c>
      <c r="Y36" s="15">
        <v>13.8</v>
      </c>
      <c r="Z36" s="16">
        <f t="shared" si="5"/>
        <v>1338.462</v>
      </c>
      <c r="AA36" s="16">
        <f t="shared" si="6"/>
        <v>588.92328</v>
      </c>
      <c r="AB36" s="17">
        <v>66.93</v>
      </c>
      <c r="AC36" s="16">
        <f t="shared" si="7"/>
        <v>1994.31528</v>
      </c>
      <c r="AD36" s="18">
        <f t="shared" si="8"/>
        <v>0</v>
      </c>
    </row>
    <row r="37" ht="15.0" customHeight="1">
      <c r="B37" s="10" t="s">
        <v>62</v>
      </c>
      <c r="C37" s="11" t="str">
        <f>'Order Calculation'!B32</f>
        <v>JAR</v>
      </c>
      <c r="D37" s="12">
        <f>'Order Calculation'!C32</f>
        <v>2</v>
      </c>
      <c r="E37" s="12">
        <f>'Order Calculation'!D32</f>
        <v>10</v>
      </c>
      <c r="F37" s="12">
        <f>'Order Calculation'!E32</f>
        <v>12</v>
      </c>
      <c r="G37" s="12">
        <f>'Order Calculation'!F32</f>
        <v>3</v>
      </c>
      <c r="H37" s="12">
        <f>'Order Calculation'!G32</f>
        <v>1</v>
      </c>
      <c r="I37" s="12">
        <f>'Order Calculation'!H32</f>
        <v>10</v>
      </c>
      <c r="J37" s="12">
        <f>'Order Calculation'!I32</f>
        <v>4</v>
      </c>
      <c r="K37" s="12">
        <f>'Order Calculation'!J32</f>
        <v>7</v>
      </c>
      <c r="L37" s="12">
        <f>'Order Calculation'!K32</f>
        <v>9</v>
      </c>
      <c r="M37" s="12">
        <f>'Order Calculation'!L32</f>
        <v>10</v>
      </c>
      <c r="N37" s="12">
        <f>'Order Calculation'!M32</f>
        <v>4</v>
      </c>
      <c r="O37" s="12">
        <f>'Order Calculation'!N32</f>
        <v>2</v>
      </c>
      <c r="P37" s="12">
        <f>'Order Calculation'!O32</f>
        <v>13</v>
      </c>
      <c r="Q37" s="12">
        <f>'Order Calculation'!P32</f>
        <v>2</v>
      </c>
      <c r="R37" s="12">
        <f>'Order Calculation'!Q32</f>
        <v>6</v>
      </c>
      <c r="S37" s="13">
        <f>'Order Calculation'!V32/6</f>
        <v>6.166666667</v>
      </c>
      <c r="T37" s="13">
        <f t="shared" si="20"/>
        <v>18.5</v>
      </c>
      <c r="U37" s="13">
        <f t="shared" si="21"/>
        <v>9.25</v>
      </c>
      <c r="V37" s="14">
        <f t="shared" si="22"/>
        <v>28</v>
      </c>
      <c r="W37" s="14">
        <f>'Order Calculation'!Y32</f>
        <v>60</v>
      </c>
      <c r="X37" s="14">
        <f t="shared" si="4"/>
        <v>0</v>
      </c>
      <c r="Y37" s="15">
        <v>13.8</v>
      </c>
      <c r="Z37" s="16">
        <f t="shared" si="5"/>
        <v>1338.462</v>
      </c>
      <c r="AA37" s="16">
        <f t="shared" si="6"/>
        <v>588.92328</v>
      </c>
      <c r="AB37" s="17">
        <v>66.93</v>
      </c>
      <c r="AC37" s="16">
        <f t="shared" si="7"/>
        <v>1994.31528</v>
      </c>
      <c r="AD37" s="18">
        <f t="shared" si="8"/>
        <v>0</v>
      </c>
    </row>
    <row r="38" ht="15.0" customHeight="1">
      <c r="B38" s="10" t="s">
        <v>63</v>
      </c>
      <c r="C38" s="11" t="str">
        <f>'Order Calculation'!B31</f>
        <v>RETAIL</v>
      </c>
      <c r="D38" s="12" t="str">
        <f>'Order Calculation'!C31</f>
        <v/>
      </c>
      <c r="E38" s="12">
        <f>'Order Calculation'!D31</f>
        <v>1</v>
      </c>
      <c r="F38" s="12" t="str">
        <f>'Order Calculation'!E31</f>
        <v/>
      </c>
      <c r="G38" s="12" t="str">
        <f>'Order Calculation'!F31</f>
        <v/>
      </c>
      <c r="H38" s="12" t="str">
        <f>'Order Calculation'!G31</f>
        <v/>
      </c>
      <c r="I38" s="12">
        <f>'Order Calculation'!H31</f>
        <v>3</v>
      </c>
      <c r="J38" s="12">
        <f>'Order Calculation'!I31</f>
        <v>7</v>
      </c>
      <c r="K38" s="12" t="str">
        <f>'Order Calculation'!J31</f>
        <v/>
      </c>
      <c r="L38" s="12">
        <f>'Order Calculation'!K31</f>
        <v>1</v>
      </c>
      <c r="M38" s="12">
        <f>'Order Calculation'!L31</f>
        <v>2</v>
      </c>
      <c r="N38" s="12" t="str">
        <f>'Order Calculation'!M31</f>
        <v/>
      </c>
      <c r="O38" s="12">
        <f>'Order Calculation'!N31</f>
        <v>1</v>
      </c>
      <c r="P38" s="12" t="str">
        <f>'Order Calculation'!O31</f>
        <v/>
      </c>
      <c r="Q38" s="12">
        <f>'Order Calculation'!P31</f>
        <v>1</v>
      </c>
      <c r="R38" s="12" t="str">
        <f>'Order Calculation'!Q31</f>
        <v/>
      </c>
      <c r="S38" s="13">
        <f>'Order Calculation'!V31/6</f>
        <v>0.6666666667</v>
      </c>
      <c r="T38" s="13">
        <f t="shared" si="20"/>
        <v>2</v>
      </c>
      <c r="U38" s="13">
        <f t="shared" si="21"/>
        <v>1</v>
      </c>
      <c r="V38" s="14">
        <f t="shared" si="22"/>
        <v>3</v>
      </c>
      <c r="W38" s="14">
        <f>'Order Calculation'!Y31</f>
        <v>39</v>
      </c>
      <c r="X38" s="14">
        <f t="shared" si="4"/>
        <v>0</v>
      </c>
      <c r="Y38" s="15">
        <v>11.1</v>
      </c>
      <c r="Z38" s="16">
        <f t="shared" si="5"/>
        <v>1076.589</v>
      </c>
      <c r="AA38" s="16">
        <f t="shared" si="6"/>
        <v>473.69916</v>
      </c>
      <c r="AB38" s="17">
        <v>21.53</v>
      </c>
      <c r="AC38" s="16">
        <f t="shared" si="7"/>
        <v>1571.81816</v>
      </c>
      <c r="AD38" s="18">
        <f t="shared" si="8"/>
        <v>0</v>
      </c>
    </row>
    <row r="39" ht="15.0" customHeight="1">
      <c r="B39" s="10" t="s">
        <v>64</v>
      </c>
      <c r="C39" s="11" t="str">
        <f>'Order Calculation'!B30</f>
        <v>JAR</v>
      </c>
      <c r="D39" s="12">
        <f>'Order Calculation'!C30</f>
        <v>5</v>
      </c>
      <c r="E39" s="12">
        <f>'Order Calculation'!D30</f>
        <v>2</v>
      </c>
      <c r="F39" s="12">
        <f>'Order Calculation'!E30</f>
        <v>9</v>
      </c>
      <c r="G39" s="12">
        <f>'Order Calculation'!F30</f>
        <v>7</v>
      </c>
      <c r="H39" s="12" t="str">
        <f>'Order Calculation'!G30</f>
        <v/>
      </c>
      <c r="I39" s="12">
        <f>'Order Calculation'!H30</f>
        <v>2</v>
      </c>
      <c r="J39" s="12">
        <f>'Order Calculation'!I30</f>
        <v>3</v>
      </c>
      <c r="K39" s="12">
        <f>'Order Calculation'!J30</f>
        <v>1</v>
      </c>
      <c r="L39" s="12">
        <f>'Order Calculation'!K30</f>
        <v>3</v>
      </c>
      <c r="M39" s="12" t="str">
        <f>'Order Calculation'!L30</f>
        <v/>
      </c>
      <c r="N39" s="12">
        <f>'Order Calculation'!M30</f>
        <v>2</v>
      </c>
      <c r="O39" s="12">
        <f>'Order Calculation'!N30</f>
        <v>2</v>
      </c>
      <c r="P39" s="12" t="str">
        <f>'Order Calculation'!O30</f>
        <v/>
      </c>
      <c r="Q39" s="12">
        <f>'Order Calculation'!P30</f>
        <v>2</v>
      </c>
      <c r="R39" s="12">
        <f>'Order Calculation'!Q30</f>
        <v>1</v>
      </c>
      <c r="S39" s="13">
        <f>'Order Calculation'!V30/6</f>
        <v>1.166666667</v>
      </c>
      <c r="T39" s="13">
        <f t="shared" si="20"/>
        <v>3.5</v>
      </c>
      <c r="U39" s="13">
        <f t="shared" si="21"/>
        <v>1.75</v>
      </c>
      <c r="V39" s="14">
        <f t="shared" si="22"/>
        <v>6</v>
      </c>
      <c r="W39" s="14">
        <f>'Order Calculation'!Y30</f>
        <v>41</v>
      </c>
      <c r="X39" s="14">
        <f t="shared" si="4"/>
        <v>0</v>
      </c>
      <c r="Y39" s="15">
        <v>13.8</v>
      </c>
      <c r="Z39" s="16">
        <f t="shared" si="5"/>
        <v>1338.462</v>
      </c>
      <c r="AA39" s="16">
        <f t="shared" si="6"/>
        <v>588.92328</v>
      </c>
      <c r="AB39" s="17">
        <v>66.93</v>
      </c>
      <c r="AC39" s="16">
        <f t="shared" si="7"/>
        <v>1994.31528</v>
      </c>
      <c r="AD39" s="18">
        <f t="shared" si="8"/>
        <v>0</v>
      </c>
    </row>
    <row r="40" ht="15.0" customHeight="1">
      <c r="B40" s="10" t="s">
        <v>65</v>
      </c>
      <c r="C40" s="11" t="str">
        <f>'Order Calculation'!B29</f>
        <v>RETAIL</v>
      </c>
      <c r="D40" s="12" t="str">
        <f>'Order Calculation'!C29</f>
        <v/>
      </c>
      <c r="E40" s="12">
        <f>'Order Calculation'!D29</f>
        <v>1</v>
      </c>
      <c r="F40" s="12" t="str">
        <f>'Order Calculation'!E29</f>
        <v/>
      </c>
      <c r="G40" s="12" t="str">
        <f>'Order Calculation'!F29</f>
        <v/>
      </c>
      <c r="H40" s="12" t="str">
        <f>'Order Calculation'!G29</f>
        <v/>
      </c>
      <c r="I40" s="12">
        <f>'Order Calculation'!H29</f>
        <v>2</v>
      </c>
      <c r="J40" s="12">
        <f>'Order Calculation'!I29</f>
        <v>4</v>
      </c>
      <c r="K40" s="12" t="str">
        <f>'Order Calculation'!J29</f>
        <v/>
      </c>
      <c r="L40" s="12">
        <f>'Order Calculation'!K29</f>
        <v>6</v>
      </c>
      <c r="M40" s="12">
        <f>'Order Calculation'!L29</f>
        <v>1</v>
      </c>
      <c r="N40" s="12" t="str">
        <f>'Order Calculation'!M29</f>
        <v/>
      </c>
      <c r="O40" s="12" t="str">
        <f>'Order Calculation'!N29</f>
        <v/>
      </c>
      <c r="P40" s="12" t="str">
        <f>'Order Calculation'!O29</f>
        <v/>
      </c>
      <c r="Q40" s="12">
        <f>'Order Calculation'!P29</f>
        <v>3</v>
      </c>
      <c r="R40" s="12" t="str">
        <f>'Order Calculation'!Q29</f>
        <v/>
      </c>
      <c r="S40" s="13">
        <f>'Order Calculation'!V29/6</f>
        <v>0.6666666667</v>
      </c>
      <c r="T40" s="13">
        <f t="shared" si="20"/>
        <v>2</v>
      </c>
      <c r="U40" s="13">
        <f t="shared" si="21"/>
        <v>1</v>
      </c>
      <c r="V40" s="14">
        <f t="shared" si="22"/>
        <v>3</v>
      </c>
      <c r="W40" s="14">
        <f>'Order Calculation'!Y29</f>
        <v>40</v>
      </c>
      <c r="X40" s="14">
        <f t="shared" si="4"/>
        <v>0</v>
      </c>
      <c r="Y40" s="15">
        <v>11.1</v>
      </c>
      <c r="Z40" s="16">
        <f t="shared" si="5"/>
        <v>1076.589</v>
      </c>
      <c r="AA40" s="16">
        <f t="shared" si="6"/>
        <v>473.69916</v>
      </c>
      <c r="AB40" s="17">
        <v>21.53</v>
      </c>
      <c r="AC40" s="16">
        <f t="shared" si="7"/>
        <v>1571.81816</v>
      </c>
      <c r="AD40" s="18">
        <f t="shared" si="8"/>
        <v>0</v>
      </c>
    </row>
    <row r="41" ht="15.0" customHeight="1">
      <c r="B41" s="10" t="s">
        <v>66</v>
      </c>
      <c r="C41" s="11" t="str">
        <f>'Order Calculation'!B28</f>
        <v>Accessory</v>
      </c>
      <c r="D41" s="12" t="str">
        <f>'Order Calculation'!C28</f>
        <v/>
      </c>
      <c r="E41" s="12">
        <f>'Order Calculation'!D28</f>
        <v>5</v>
      </c>
      <c r="F41" s="12" t="str">
        <f>'Order Calculation'!E28</f>
        <v/>
      </c>
      <c r="G41" s="12">
        <f>'Order Calculation'!F28</f>
        <v>3</v>
      </c>
      <c r="H41" s="12" t="str">
        <f>'Order Calculation'!G28</f>
        <v/>
      </c>
      <c r="I41" s="12" t="str">
        <f>'Order Calculation'!H28</f>
        <v/>
      </c>
      <c r="J41" s="12" t="str">
        <f>'Order Calculation'!I28</f>
        <v/>
      </c>
      <c r="K41" s="12" t="str">
        <f>'Order Calculation'!J28</f>
        <v/>
      </c>
      <c r="L41" s="12">
        <f>'Order Calculation'!K28</f>
        <v>1</v>
      </c>
      <c r="M41" s="12" t="str">
        <f>'Order Calculation'!L28</f>
        <v/>
      </c>
      <c r="N41" s="12">
        <f>'Order Calculation'!M28</f>
        <v>1</v>
      </c>
      <c r="O41" s="12" t="str">
        <f>'Order Calculation'!N28</f>
        <v/>
      </c>
      <c r="P41" s="12">
        <f>'Order Calculation'!O28</f>
        <v>1</v>
      </c>
      <c r="Q41" s="12" t="str">
        <f>'Order Calculation'!P28</f>
        <v/>
      </c>
      <c r="R41" s="12" t="str">
        <f>'Order Calculation'!Q28</f>
        <v/>
      </c>
      <c r="S41" s="13">
        <f>'Order Calculation'!V28/6</f>
        <v>0.3333333333</v>
      </c>
      <c r="T41" s="13">
        <f>V41*0.7</f>
        <v>21</v>
      </c>
      <c r="U41" s="13">
        <f>V41*0.3</f>
        <v>9</v>
      </c>
      <c r="V41" s="19">
        <v>30.0</v>
      </c>
      <c r="W41" s="14">
        <f>'Order Calculation'!Y28</f>
        <v>53</v>
      </c>
      <c r="X41" s="14">
        <f t="shared" si="4"/>
        <v>0</v>
      </c>
      <c r="Y41" s="20"/>
      <c r="Z41" s="16">
        <f t="shared" si="5"/>
        <v>0</v>
      </c>
      <c r="AA41" s="16">
        <f t="shared" si="6"/>
        <v>0</v>
      </c>
      <c r="AB41" s="17">
        <v>66.93</v>
      </c>
      <c r="AC41" s="16">
        <f t="shared" si="7"/>
        <v>66.93</v>
      </c>
      <c r="AD41" s="18">
        <f t="shared" si="8"/>
        <v>0</v>
      </c>
    </row>
    <row r="42" ht="15.0" customHeight="1">
      <c r="B42" s="10" t="s">
        <v>67</v>
      </c>
      <c r="C42" s="11" t="str">
        <f>'Order Calculation'!B27</f>
        <v>JAR</v>
      </c>
      <c r="D42" s="12">
        <f>'Order Calculation'!C27</f>
        <v>1</v>
      </c>
      <c r="E42" s="12">
        <f>'Order Calculation'!D27</f>
        <v>13</v>
      </c>
      <c r="F42" s="12">
        <f>'Order Calculation'!E27</f>
        <v>15</v>
      </c>
      <c r="G42" s="12">
        <f>'Order Calculation'!F27</f>
        <v>6</v>
      </c>
      <c r="H42" s="12">
        <f>'Order Calculation'!G27</f>
        <v>11</v>
      </c>
      <c r="I42" s="12">
        <f>'Order Calculation'!H27</f>
        <v>13</v>
      </c>
      <c r="J42" s="12">
        <f>'Order Calculation'!I27</f>
        <v>7</v>
      </c>
      <c r="K42" s="12">
        <f>'Order Calculation'!J27</f>
        <v>14</v>
      </c>
      <c r="L42" s="12">
        <f>'Order Calculation'!K27</f>
        <v>4</v>
      </c>
      <c r="M42" s="12">
        <f>'Order Calculation'!L27</f>
        <v>6</v>
      </c>
      <c r="N42" s="12">
        <f>'Order Calculation'!M27</f>
        <v>7</v>
      </c>
      <c r="O42" s="12">
        <f>'Order Calculation'!N27</f>
        <v>2</v>
      </c>
      <c r="P42" s="12" t="str">
        <f>'Order Calculation'!O27</f>
        <v/>
      </c>
      <c r="Q42" s="12">
        <f>'Order Calculation'!P27</f>
        <v>14</v>
      </c>
      <c r="R42" s="12">
        <f>'Order Calculation'!Q27</f>
        <v>2</v>
      </c>
      <c r="S42" s="13">
        <f>'Order Calculation'!V27/6</f>
        <v>5.166666667</v>
      </c>
      <c r="T42" s="13">
        <f t="shared" ref="T42:T45" si="23">S42*$D$5</f>
        <v>15.5</v>
      </c>
      <c r="U42" s="13">
        <f t="shared" ref="U42:U45" si="24">S42*$D$6</f>
        <v>7.75</v>
      </c>
      <c r="V42" s="14">
        <f t="shared" ref="V42:V45" si="25">ROUNDUP(T42+U42,0)</f>
        <v>24</v>
      </c>
      <c r="W42" s="14">
        <f>'Order Calculation'!Y27</f>
        <v>52</v>
      </c>
      <c r="X42" s="14">
        <f t="shared" si="4"/>
        <v>0</v>
      </c>
      <c r="Y42" s="15">
        <v>13.8</v>
      </c>
      <c r="Z42" s="16">
        <f t="shared" si="5"/>
        <v>1338.462</v>
      </c>
      <c r="AA42" s="16">
        <f t="shared" si="6"/>
        <v>588.92328</v>
      </c>
      <c r="AB42" s="17">
        <v>66.93</v>
      </c>
      <c r="AC42" s="16">
        <f t="shared" si="7"/>
        <v>1994.31528</v>
      </c>
      <c r="AD42" s="18">
        <f t="shared" si="8"/>
        <v>0</v>
      </c>
    </row>
    <row r="43" ht="15.0" customHeight="1">
      <c r="B43" s="10" t="s">
        <v>68</v>
      </c>
      <c r="C43" s="11" t="str">
        <f>'Order Calculation'!B26</f>
        <v>RETAIL</v>
      </c>
      <c r="D43" s="12" t="str">
        <f>'Order Calculation'!C26</f>
        <v/>
      </c>
      <c r="E43" s="12">
        <f>'Order Calculation'!D26</f>
        <v>3</v>
      </c>
      <c r="F43" s="12" t="str">
        <f>'Order Calculation'!E26</f>
        <v/>
      </c>
      <c r="G43" s="12">
        <f>'Order Calculation'!F26</f>
        <v>2</v>
      </c>
      <c r="H43" s="12">
        <f>'Order Calculation'!G26</f>
        <v>1</v>
      </c>
      <c r="I43" s="12">
        <f>'Order Calculation'!H26</f>
        <v>2</v>
      </c>
      <c r="J43" s="12">
        <f>'Order Calculation'!I26</f>
        <v>4</v>
      </c>
      <c r="K43" s="12" t="str">
        <f>'Order Calculation'!J26</f>
        <v/>
      </c>
      <c r="L43" s="12">
        <f>'Order Calculation'!K26</f>
        <v>4</v>
      </c>
      <c r="M43" s="12" t="str">
        <f>'Order Calculation'!L26</f>
        <v/>
      </c>
      <c r="N43" s="12" t="str">
        <f>'Order Calculation'!M26</f>
        <v/>
      </c>
      <c r="O43" s="12">
        <f>'Order Calculation'!N26</f>
        <v>2</v>
      </c>
      <c r="P43" s="12">
        <f>'Order Calculation'!O26</f>
        <v>1</v>
      </c>
      <c r="Q43" s="12">
        <f>'Order Calculation'!P26</f>
        <v>1</v>
      </c>
      <c r="R43" s="12" t="str">
        <f>'Order Calculation'!Q26</f>
        <v/>
      </c>
      <c r="S43" s="13">
        <f>'Order Calculation'!V26/6</f>
        <v>0.6666666667</v>
      </c>
      <c r="T43" s="13">
        <f t="shared" si="23"/>
        <v>2</v>
      </c>
      <c r="U43" s="13">
        <f t="shared" si="24"/>
        <v>1</v>
      </c>
      <c r="V43" s="14">
        <f t="shared" si="25"/>
        <v>3</v>
      </c>
      <c r="W43" s="14">
        <f>'Order Calculation'!Y26</f>
        <v>37</v>
      </c>
      <c r="X43" s="14">
        <f t="shared" si="4"/>
        <v>0</v>
      </c>
      <c r="Y43" s="15">
        <v>11.1</v>
      </c>
      <c r="Z43" s="16">
        <f t="shared" si="5"/>
        <v>1076.589</v>
      </c>
      <c r="AA43" s="16">
        <f t="shared" si="6"/>
        <v>473.69916</v>
      </c>
      <c r="AB43" s="17">
        <v>21.53</v>
      </c>
      <c r="AC43" s="16">
        <f t="shared" si="7"/>
        <v>1571.81816</v>
      </c>
      <c r="AD43" s="18">
        <f t="shared" si="8"/>
        <v>0</v>
      </c>
    </row>
    <row r="44" ht="15.0" customHeight="1">
      <c r="B44" s="10" t="s">
        <v>69</v>
      </c>
      <c r="C44" s="11" t="str">
        <f>'Order Calculation'!B25</f>
        <v>JAR</v>
      </c>
      <c r="D44" s="12">
        <f>'Order Calculation'!C25</f>
        <v>6</v>
      </c>
      <c r="E44" s="12">
        <f>'Order Calculation'!D25</f>
        <v>12</v>
      </c>
      <c r="F44" s="12">
        <f>'Order Calculation'!E25</f>
        <v>14</v>
      </c>
      <c r="G44" s="12">
        <f>'Order Calculation'!F25</f>
        <v>18</v>
      </c>
      <c r="H44" s="12">
        <f>'Order Calculation'!G25</f>
        <v>11</v>
      </c>
      <c r="I44" s="12">
        <f>'Order Calculation'!H25</f>
        <v>5</v>
      </c>
      <c r="J44" s="12">
        <f>'Order Calculation'!I25</f>
        <v>3</v>
      </c>
      <c r="K44" s="12">
        <f>'Order Calculation'!J25</f>
        <v>7</v>
      </c>
      <c r="L44" s="12">
        <f>'Order Calculation'!K25</f>
        <v>12</v>
      </c>
      <c r="M44" s="12">
        <f>'Order Calculation'!L25</f>
        <v>1</v>
      </c>
      <c r="N44" s="12">
        <f>'Order Calculation'!M25</f>
        <v>10</v>
      </c>
      <c r="O44" s="12">
        <f>'Order Calculation'!N25</f>
        <v>2</v>
      </c>
      <c r="P44" s="12">
        <f>'Order Calculation'!O25</f>
        <v>9</v>
      </c>
      <c r="Q44" s="12">
        <f>'Order Calculation'!P25</f>
        <v>1</v>
      </c>
      <c r="R44" s="12">
        <f>'Order Calculation'!Q25</f>
        <v>6</v>
      </c>
      <c r="S44" s="13">
        <f>'Order Calculation'!V25/6</f>
        <v>4.833333333</v>
      </c>
      <c r="T44" s="13">
        <f t="shared" si="23"/>
        <v>14.5</v>
      </c>
      <c r="U44" s="13">
        <f t="shared" si="24"/>
        <v>7.25</v>
      </c>
      <c r="V44" s="14">
        <f t="shared" si="25"/>
        <v>22</v>
      </c>
      <c r="W44" s="14">
        <f>'Order Calculation'!Y25</f>
        <v>51</v>
      </c>
      <c r="X44" s="14">
        <f t="shared" si="4"/>
        <v>0</v>
      </c>
      <c r="Y44" s="15">
        <v>13.8</v>
      </c>
      <c r="Z44" s="16">
        <f t="shared" si="5"/>
        <v>1338.462</v>
      </c>
      <c r="AA44" s="16">
        <f t="shared" si="6"/>
        <v>588.92328</v>
      </c>
      <c r="AB44" s="17">
        <v>66.93</v>
      </c>
      <c r="AC44" s="16">
        <f t="shared" si="7"/>
        <v>1994.31528</v>
      </c>
      <c r="AD44" s="18">
        <f t="shared" si="8"/>
        <v>0</v>
      </c>
    </row>
    <row r="45" ht="15.0" customHeight="1">
      <c r="B45" s="10" t="s">
        <v>70</v>
      </c>
      <c r="C45" s="11" t="str">
        <f>'Order Calculation'!B24</f>
        <v>JAR</v>
      </c>
      <c r="D45" s="12" t="str">
        <f>'Order Calculation'!C24</f>
        <v/>
      </c>
      <c r="E45" s="12">
        <f>'Order Calculation'!D24</f>
        <v>2</v>
      </c>
      <c r="F45" s="12">
        <f>'Order Calculation'!E24</f>
        <v>5</v>
      </c>
      <c r="G45" s="12">
        <f>'Order Calculation'!F24</f>
        <v>1</v>
      </c>
      <c r="H45" s="12">
        <f>'Order Calculation'!G24</f>
        <v>27</v>
      </c>
      <c r="I45" s="12">
        <f>'Order Calculation'!H24</f>
        <v>1</v>
      </c>
      <c r="J45" s="12">
        <f>'Order Calculation'!I24</f>
        <v>10</v>
      </c>
      <c r="K45" s="12" t="str">
        <f>'Order Calculation'!J24</f>
        <v/>
      </c>
      <c r="L45" s="12">
        <f>'Order Calculation'!K24</f>
        <v>21</v>
      </c>
      <c r="M45" s="12" t="str">
        <f>'Order Calculation'!L24</f>
        <v/>
      </c>
      <c r="N45" s="12">
        <f>'Order Calculation'!M24</f>
        <v>1</v>
      </c>
      <c r="O45" s="12" t="str">
        <f>'Order Calculation'!N24</f>
        <v/>
      </c>
      <c r="P45" s="12">
        <f>'Order Calculation'!O24</f>
        <v>1</v>
      </c>
      <c r="Q45" s="12" t="str">
        <f>'Order Calculation'!P24</f>
        <v/>
      </c>
      <c r="R45" s="12" t="str">
        <f>'Order Calculation'!Q24</f>
        <v/>
      </c>
      <c r="S45" s="13">
        <f>'Order Calculation'!V24/6</f>
        <v>0.3333333333</v>
      </c>
      <c r="T45" s="13">
        <f t="shared" si="23"/>
        <v>1</v>
      </c>
      <c r="U45" s="13">
        <f t="shared" si="24"/>
        <v>0.5</v>
      </c>
      <c r="V45" s="14">
        <f t="shared" si="25"/>
        <v>2</v>
      </c>
      <c r="W45" s="14">
        <f>'Order Calculation'!Y24</f>
        <v>32</v>
      </c>
      <c r="X45" s="14">
        <f t="shared" si="4"/>
        <v>0</v>
      </c>
      <c r="Y45" s="15">
        <v>13.8</v>
      </c>
      <c r="Z45" s="16">
        <f t="shared" si="5"/>
        <v>1338.462</v>
      </c>
      <c r="AA45" s="16">
        <f t="shared" si="6"/>
        <v>588.92328</v>
      </c>
      <c r="AB45" s="17">
        <v>66.93</v>
      </c>
      <c r="AC45" s="16">
        <f t="shared" si="7"/>
        <v>1994.31528</v>
      </c>
      <c r="AD45" s="18">
        <f t="shared" si="8"/>
        <v>0</v>
      </c>
    </row>
    <row r="46" ht="15.0" customHeight="1">
      <c r="B46" s="10" t="s">
        <v>71</v>
      </c>
      <c r="C46" s="11" t="str">
        <f>'Order Calculation'!B23</f>
        <v>Accessory</v>
      </c>
      <c r="D46" s="12">
        <f>'Order Calculation'!C23</f>
        <v>2</v>
      </c>
      <c r="E46" s="12">
        <f>'Order Calculation'!D23</f>
        <v>22</v>
      </c>
      <c r="F46" s="12">
        <f>'Order Calculation'!E23</f>
        <v>9</v>
      </c>
      <c r="G46" s="12">
        <f>'Order Calculation'!F23</f>
        <v>8</v>
      </c>
      <c r="H46" s="12">
        <f>'Order Calculation'!G23</f>
        <v>4</v>
      </c>
      <c r="I46" s="12">
        <f>'Order Calculation'!H23</f>
        <v>8</v>
      </c>
      <c r="J46" s="12" t="str">
        <f>'Order Calculation'!I23</f>
        <v/>
      </c>
      <c r="K46" s="12">
        <f>'Order Calculation'!J23</f>
        <v>5</v>
      </c>
      <c r="L46" s="12">
        <f>'Order Calculation'!K23</f>
        <v>6</v>
      </c>
      <c r="M46" s="12">
        <f>'Order Calculation'!L23</f>
        <v>3</v>
      </c>
      <c r="N46" s="12">
        <f>'Order Calculation'!M23</f>
        <v>6</v>
      </c>
      <c r="O46" s="12">
        <f>'Order Calculation'!N23</f>
        <v>3</v>
      </c>
      <c r="P46" s="12">
        <f>'Order Calculation'!O23</f>
        <v>6</v>
      </c>
      <c r="Q46" s="12">
        <f>'Order Calculation'!P23</f>
        <v>6</v>
      </c>
      <c r="R46" s="12">
        <f>'Order Calculation'!Q23</f>
        <v>3</v>
      </c>
      <c r="S46" s="13">
        <f>'Order Calculation'!V23/6</f>
        <v>4.5</v>
      </c>
      <c r="T46" s="13">
        <f>V46*0.7</f>
        <v>70</v>
      </c>
      <c r="U46" s="13">
        <f>V46*0.3</f>
        <v>30</v>
      </c>
      <c r="V46" s="19">
        <v>100.0</v>
      </c>
      <c r="W46" s="14">
        <f>'Order Calculation'!Y23</f>
        <v>59</v>
      </c>
      <c r="X46" s="14">
        <f t="shared" si="4"/>
        <v>41</v>
      </c>
      <c r="Y46" s="20"/>
      <c r="Z46" s="16">
        <f t="shared" si="5"/>
        <v>0</v>
      </c>
      <c r="AA46" s="16">
        <f t="shared" si="6"/>
        <v>0</v>
      </c>
      <c r="AB46" s="17">
        <v>66.93</v>
      </c>
      <c r="AC46" s="16">
        <f t="shared" si="7"/>
        <v>66.93</v>
      </c>
      <c r="AD46" s="18">
        <f t="shared" si="8"/>
        <v>2744.13</v>
      </c>
    </row>
    <row r="47" ht="15.0" customHeight="1">
      <c r="B47" s="10" t="s">
        <v>72</v>
      </c>
      <c r="C47" s="11" t="str">
        <f>'Order Calculation'!B22</f>
        <v>JAR</v>
      </c>
      <c r="D47" s="12" t="str">
        <f>'Order Calculation'!C22</f>
        <v/>
      </c>
      <c r="E47" s="12">
        <f>'Order Calculation'!D22</f>
        <v>4</v>
      </c>
      <c r="F47" s="12">
        <f>'Order Calculation'!E22</f>
        <v>2</v>
      </c>
      <c r="G47" s="12">
        <f>'Order Calculation'!F22</f>
        <v>5</v>
      </c>
      <c r="H47" s="12" t="str">
        <f>'Order Calculation'!G22</f>
        <v/>
      </c>
      <c r="I47" s="12">
        <f>'Order Calculation'!H22</f>
        <v>1</v>
      </c>
      <c r="J47" s="12">
        <f>'Order Calculation'!I22</f>
        <v>1</v>
      </c>
      <c r="K47" s="12">
        <f>'Order Calculation'!J22</f>
        <v>2</v>
      </c>
      <c r="L47" s="12">
        <f>'Order Calculation'!K22</f>
        <v>8</v>
      </c>
      <c r="M47" s="12">
        <f>'Order Calculation'!L22</f>
        <v>1</v>
      </c>
      <c r="N47" s="12">
        <f>'Order Calculation'!M22</f>
        <v>3</v>
      </c>
      <c r="O47" s="12">
        <f>'Order Calculation'!N22</f>
        <v>1</v>
      </c>
      <c r="P47" s="12">
        <f>'Order Calculation'!O22</f>
        <v>3</v>
      </c>
      <c r="Q47" s="12">
        <f>'Order Calculation'!P22</f>
        <v>1</v>
      </c>
      <c r="R47" s="12" t="str">
        <f>'Order Calculation'!Q22</f>
        <v/>
      </c>
      <c r="S47" s="13">
        <f>'Order Calculation'!V22/6</f>
        <v>1.5</v>
      </c>
      <c r="T47" s="13">
        <f t="shared" ref="T47:T48" si="26">S47*$D$5</f>
        <v>4.5</v>
      </c>
      <c r="U47" s="13">
        <f t="shared" ref="U47:U48" si="27">S47*$D$6</f>
        <v>2.25</v>
      </c>
      <c r="V47" s="14">
        <f t="shared" ref="V47:V48" si="28">ROUNDUP(T47+U47,0)</f>
        <v>7</v>
      </c>
      <c r="W47" s="14">
        <f>'Order Calculation'!Y22</f>
        <v>30</v>
      </c>
      <c r="X47" s="14">
        <f t="shared" si="4"/>
        <v>0</v>
      </c>
      <c r="Y47" s="15">
        <v>13.8</v>
      </c>
      <c r="Z47" s="16">
        <f t="shared" si="5"/>
        <v>1338.462</v>
      </c>
      <c r="AA47" s="16">
        <f t="shared" si="6"/>
        <v>588.92328</v>
      </c>
      <c r="AB47" s="17">
        <v>66.93</v>
      </c>
      <c r="AC47" s="16">
        <f t="shared" si="7"/>
        <v>1994.31528</v>
      </c>
      <c r="AD47" s="18">
        <f t="shared" si="8"/>
        <v>0</v>
      </c>
    </row>
    <row r="48" ht="15.0" customHeight="1">
      <c r="B48" s="10" t="s">
        <v>73</v>
      </c>
      <c r="C48" s="11" t="str">
        <f>'Order Calculation'!B21</f>
        <v>JAR</v>
      </c>
      <c r="D48" s="12" t="str">
        <f>'Order Calculation'!C21</f>
        <v/>
      </c>
      <c r="E48" s="12">
        <f>'Order Calculation'!D21</f>
        <v>2</v>
      </c>
      <c r="F48" s="12">
        <f>'Order Calculation'!E21</f>
        <v>8</v>
      </c>
      <c r="G48" s="12">
        <f>'Order Calculation'!F21</f>
        <v>1</v>
      </c>
      <c r="H48" s="12" t="str">
        <f>'Order Calculation'!G21</f>
        <v/>
      </c>
      <c r="I48" s="12">
        <f>'Order Calculation'!H21</f>
        <v>1</v>
      </c>
      <c r="J48" s="12">
        <f>'Order Calculation'!I21</f>
        <v>2</v>
      </c>
      <c r="K48" s="12" t="str">
        <f>'Order Calculation'!J21</f>
        <v/>
      </c>
      <c r="L48" s="12">
        <f>'Order Calculation'!K21</f>
        <v>3</v>
      </c>
      <c r="M48" s="12">
        <f>'Order Calculation'!L21</f>
        <v>1</v>
      </c>
      <c r="N48" s="12" t="str">
        <f>'Order Calculation'!M21</f>
        <v/>
      </c>
      <c r="O48" s="12" t="str">
        <f>'Order Calculation'!N21</f>
        <v/>
      </c>
      <c r="P48" s="12" t="str">
        <f>'Order Calculation'!O21</f>
        <v/>
      </c>
      <c r="Q48" s="12">
        <f>'Order Calculation'!P21</f>
        <v>4</v>
      </c>
      <c r="R48" s="12" t="str">
        <f>'Order Calculation'!Q21</f>
        <v/>
      </c>
      <c r="S48" s="13">
        <f>'Order Calculation'!V21/6</f>
        <v>0.8333333333</v>
      </c>
      <c r="T48" s="13">
        <f t="shared" si="26"/>
        <v>2.5</v>
      </c>
      <c r="U48" s="13">
        <f t="shared" si="27"/>
        <v>1.25</v>
      </c>
      <c r="V48" s="14">
        <f t="shared" si="28"/>
        <v>4</v>
      </c>
      <c r="W48" s="14">
        <f>'Order Calculation'!Y21</f>
        <v>30</v>
      </c>
      <c r="X48" s="14">
        <f t="shared" si="4"/>
        <v>0</v>
      </c>
      <c r="Y48" s="15">
        <v>13.8</v>
      </c>
      <c r="Z48" s="16">
        <f t="shared" si="5"/>
        <v>1338.462</v>
      </c>
      <c r="AA48" s="16">
        <f t="shared" si="6"/>
        <v>588.92328</v>
      </c>
      <c r="AB48" s="17">
        <v>66.93</v>
      </c>
      <c r="AC48" s="16">
        <f t="shared" si="7"/>
        <v>1994.31528</v>
      </c>
      <c r="AD48" s="18">
        <f t="shared" si="8"/>
        <v>0</v>
      </c>
    </row>
    <row r="49" ht="15.0" customHeight="1">
      <c r="B49" s="10" t="s">
        <v>74</v>
      </c>
      <c r="C49" s="11" t="str">
        <f>'Order Calculation'!B20</f>
        <v>Accessory</v>
      </c>
      <c r="D49" s="12">
        <f>'Order Calculation'!C20</f>
        <v>4</v>
      </c>
      <c r="E49" s="12">
        <f>'Order Calculation'!D20</f>
        <v>19</v>
      </c>
      <c r="F49" s="12">
        <f>'Order Calculation'!E20</f>
        <v>12</v>
      </c>
      <c r="G49" s="12">
        <f>'Order Calculation'!F20</f>
        <v>9</v>
      </c>
      <c r="H49" s="12">
        <f>'Order Calculation'!G20</f>
        <v>3</v>
      </c>
      <c r="I49" s="12">
        <f>'Order Calculation'!H20</f>
        <v>13</v>
      </c>
      <c r="J49" s="12">
        <f>'Order Calculation'!I20</f>
        <v>4</v>
      </c>
      <c r="K49" s="12">
        <f>'Order Calculation'!J20</f>
        <v>9</v>
      </c>
      <c r="L49" s="12">
        <f>'Order Calculation'!K20</f>
        <v>10</v>
      </c>
      <c r="M49" s="12">
        <f>'Order Calculation'!L20</f>
        <v>3</v>
      </c>
      <c r="N49" s="12">
        <f>'Order Calculation'!M20</f>
        <v>8</v>
      </c>
      <c r="O49" s="12">
        <f>'Order Calculation'!N20</f>
        <v>10</v>
      </c>
      <c r="P49" s="12">
        <f>'Order Calculation'!O20</f>
        <v>4</v>
      </c>
      <c r="Q49" s="12">
        <f>'Order Calculation'!P20</f>
        <v>4</v>
      </c>
      <c r="R49" s="12">
        <f>'Order Calculation'!Q20</f>
        <v>3</v>
      </c>
      <c r="S49" s="13">
        <f>'Order Calculation'!V20/6</f>
        <v>5.333333333</v>
      </c>
      <c r="T49" s="13">
        <f t="shared" ref="T49:T50" si="29">V49*0.7</f>
        <v>70</v>
      </c>
      <c r="U49" s="13">
        <f t="shared" ref="U49:U50" si="30">V49*0.3</f>
        <v>30</v>
      </c>
      <c r="V49" s="19">
        <v>100.0</v>
      </c>
      <c r="W49" s="14">
        <f>'Order Calculation'!Y20</f>
        <v>46</v>
      </c>
      <c r="X49" s="14">
        <f t="shared" si="4"/>
        <v>54</v>
      </c>
      <c r="Y49" s="20"/>
      <c r="Z49" s="16">
        <f t="shared" si="5"/>
        <v>0</v>
      </c>
      <c r="AA49" s="16">
        <f t="shared" si="6"/>
        <v>0</v>
      </c>
      <c r="AB49" s="17">
        <v>66.93</v>
      </c>
      <c r="AC49" s="16">
        <f t="shared" si="7"/>
        <v>66.93</v>
      </c>
      <c r="AD49" s="18">
        <f t="shared" si="8"/>
        <v>3614.22</v>
      </c>
    </row>
    <row r="50" ht="15.0" customHeight="1">
      <c r="B50" s="10" t="s">
        <v>75</v>
      </c>
      <c r="C50" s="11" t="str">
        <f>'Order Calculation'!B19</f>
        <v>Accessory</v>
      </c>
      <c r="D50" s="12" t="str">
        <f>'Order Calculation'!C19</f>
        <v/>
      </c>
      <c r="E50" s="12" t="str">
        <f>'Order Calculation'!D19</f>
        <v/>
      </c>
      <c r="F50" s="12">
        <f>'Order Calculation'!E19</f>
        <v>1</v>
      </c>
      <c r="G50" s="12" t="str">
        <f>'Order Calculation'!F19</f>
        <v/>
      </c>
      <c r="H50" s="12" t="str">
        <f>'Order Calculation'!G19</f>
        <v/>
      </c>
      <c r="I50" s="12" t="str">
        <f>'Order Calculation'!H19</f>
        <v/>
      </c>
      <c r="J50" s="12" t="str">
        <f>'Order Calculation'!I19</f>
        <v/>
      </c>
      <c r="K50" s="12" t="str">
        <f>'Order Calculation'!J19</f>
        <v/>
      </c>
      <c r="L50" s="12" t="str">
        <f>'Order Calculation'!K19</f>
        <v/>
      </c>
      <c r="M50" s="12" t="str">
        <f>'Order Calculation'!L19</f>
        <v/>
      </c>
      <c r="N50" s="12" t="str">
        <f>'Order Calculation'!M19</f>
        <v/>
      </c>
      <c r="O50" s="12" t="str">
        <f>'Order Calculation'!N19</f>
        <v/>
      </c>
      <c r="P50" s="12" t="str">
        <f>'Order Calculation'!O19</f>
        <v/>
      </c>
      <c r="Q50" s="12" t="str">
        <f>'Order Calculation'!P19</f>
        <v/>
      </c>
      <c r="R50" s="12" t="str">
        <f>'Order Calculation'!Q19</f>
        <v/>
      </c>
      <c r="S50" s="13">
        <f>'Order Calculation'!V19/6</f>
        <v>0</v>
      </c>
      <c r="T50" s="13">
        <f t="shared" si="29"/>
        <v>35</v>
      </c>
      <c r="U50" s="13">
        <f t="shared" si="30"/>
        <v>15</v>
      </c>
      <c r="V50" s="19">
        <v>50.0</v>
      </c>
      <c r="W50" s="14">
        <f>'Order Calculation'!Y19</f>
        <v>64</v>
      </c>
      <c r="X50" s="14">
        <f t="shared" si="4"/>
        <v>0</v>
      </c>
      <c r="Y50" s="20"/>
      <c r="Z50" s="16">
        <f t="shared" si="5"/>
        <v>0</v>
      </c>
      <c r="AA50" s="16">
        <f t="shared" si="6"/>
        <v>0</v>
      </c>
      <c r="AB50" s="17">
        <v>66.93</v>
      </c>
      <c r="AC50" s="16">
        <f t="shared" si="7"/>
        <v>66.93</v>
      </c>
      <c r="AD50" s="18">
        <f t="shared" si="8"/>
        <v>0</v>
      </c>
    </row>
    <row r="51" ht="15.0" customHeight="1">
      <c r="B51" s="10" t="s">
        <v>76</v>
      </c>
      <c r="C51" s="11" t="str">
        <f>'Order Calculation'!B17</f>
        <v>RETAIL</v>
      </c>
      <c r="D51" s="12" t="str">
        <f>'Order Calculation'!C17</f>
        <v/>
      </c>
      <c r="E51" s="12">
        <f>'Order Calculation'!D17</f>
        <v>1</v>
      </c>
      <c r="F51" s="12">
        <f>'Order Calculation'!E17</f>
        <v>5</v>
      </c>
      <c r="G51" s="12">
        <f>'Order Calculation'!F17</f>
        <v>5</v>
      </c>
      <c r="H51" s="12" t="str">
        <f>'Order Calculation'!G17</f>
        <v/>
      </c>
      <c r="I51" s="12">
        <f>'Order Calculation'!H17</f>
        <v>10</v>
      </c>
      <c r="J51" s="12" t="str">
        <f>'Order Calculation'!I17</f>
        <v/>
      </c>
      <c r="K51" s="12" t="str">
        <f>'Order Calculation'!J17</f>
        <v/>
      </c>
      <c r="L51" s="12">
        <f>'Order Calculation'!K17</f>
        <v>3</v>
      </c>
      <c r="M51" s="12" t="str">
        <f>'Order Calculation'!L17</f>
        <v/>
      </c>
      <c r="N51" s="12">
        <f>'Order Calculation'!M17</f>
        <v>1</v>
      </c>
      <c r="O51" s="12" t="str">
        <f>'Order Calculation'!N17</f>
        <v/>
      </c>
      <c r="P51" s="12" t="str">
        <f>'Order Calculation'!O17</f>
        <v/>
      </c>
      <c r="Q51" s="12">
        <f>'Order Calculation'!P17</f>
        <v>6</v>
      </c>
      <c r="R51" s="12" t="str">
        <f>'Order Calculation'!Q17</f>
        <v/>
      </c>
      <c r="S51" s="13">
        <f>'Order Calculation'!V17/6</f>
        <v>1.166666667</v>
      </c>
      <c r="T51" s="13">
        <f>S51*$D$5</f>
        <v>3.5</v>
      </c>
      <c r="U51" s="13">
        <f>S51*$D$6</f>
        <v>1.75</v>
      </c>
      <c r="V51" s="14">
        <f>ROUNDUP(T51+U51,0)</f>
        <v>6</v>
      </c>
      <c r="W51" s="14">
        <f>'Order Calculation'!Y17</f>
        <v>22</v>
      </c>
      <c r="X51" s="14">
        <f t="shared" si="4"/>
        <v>0</v>
      </c>
      <c r="Y51" s="15">
        <v>11.1</v>
      </c>
      <c r="Z51" s="16">
        <f t="shared" si="5"/>
        <v>1076.589</v>
      </c>
      <c r="AA51" s="16">
        <f t="shared" si="6"/>
        <v>473.69916</v>
      </c>
      <c r="AB51" s="17">
        <v>21.53</v>
      </c>
      <c r="AC51" s="16">
        <f t="shared" si="7"/>
        <v>1571.81816</v>
      </c>
      <c r="AD51" s="18">
        <f t="shared" si="8"/>
        <v>0</v>
      </c>
    </row>
    <row r="52" ht="15.0" customHeight="1">
      <c r="B52" s="10" t="s">
        <v>77</v>
      </c>
      <c r="C52" s="11" t="str">
        <f>'Order Calculation'!B16</f>
        <v>Accessory</v>
      </c>
      <c r="D52" s="12" t="str">
        <f>'Order Calculation'!C16</f>
        <v/>
      </c>
      <c r="E52" s="12">
        <f>'Order Calculation'!D16</f>
        <v>2</v>
      </c>
      <c r="F52" s="12" t="str">
        <f>'Order Calculation'!E16</f>
        <v/>
      </c>
      <c r="G52" s="12">
        <f>'Order Calculation'!F16</f>
        <v>2</v>
      </c>
      <c r="H52" s="12">
        <f>'Order Calculation'!G16</f>
        <v>1</v>
      </c>
      <c r="I52" s="12" t="str">
        <f>'Order Calculation'!H16</f>
        <v/>
      </c>
      <c r="J52" s="12" t="str">
        <f>'Order Calculation'!I16</f>
        <v/>
      </c>
      <c r="K52" s="12" t="str">
        <f>'Order Calculation'!J16</f>
        <v/>
      </c>
      <c r="L52" s="12" t="str">
        <f>'Order Calculation'!K16</f>
        <v/>
      </c>
      <c r="M52" s="12" t="str">
        <f>'Order Calculation'!L16</f>
        <v/>
      </c>
      <c r="N52" s="12" t="str">
        <f>'Order Calculation'!M16</f>
        <v/>
      </c>
      <c r="O52" s="12" t="str">
        <f>'Order Calculation'!N16</f>
        <v/>
      </c>
      <c r="P52" s="12" t="str">
        <f>'Order Calculation'!O16</f>
        <v/>
      </c>
      <c r="Q52" s="12" t="str">
        <f>'Order Calculation'!P16</f>
        <v/>
      </c>
      <c r="R52" s="12" t="str">
        <f>'Order Calculation'!Q16</f>
        <v/>
      </c>
      <c r="S52" s="13">
        <f>'Order Calculation'!V16/6</f>
        <v>0</v>
      </c>
      <c r="T52" s="13">
        <f>V52*0.7</f>
        <v>21</v>
      </c>
      <c r="U52" s="13">
        <f>V52*0.3</f>
        <v>9</v>
      </c>
      <c r="V52" s="19">
        <v>30.0</v>
      </c>
      <c r="W52" s="14">
        <f>'Order Calculation'!Y16</f>
        <v>30</v>
      </c>
      <c r="X52" s="14">
        <f t="shared" si="4"/>
        <v>0</v>
      </c>
      <c r="Y52" s="20"/>
      <c r="Z52" s="16">
        <f t="shared" si="5"/>
        <v>0</v>
      </c>
      <c r="AA52" s="16">
        <f t="shared" si="6"/>
        <v>0</v>
      </c>
      <c r="AB52" s="17">
        <v>66.93</v>
      </c>
      <c r="AC52" s="16">
        <f t="shared" si="7"/>
        <v>66.93</v>
      </c>
      <c r="AD52" s="18">
        <f t="shared" si="8"/>
        <v>0</v>
      </c>
    </row>
    <row r="53" ht="15.0" customHeight="1">
      <c r="B53" s="10" t="s">
        <v>78</v>
      </c>
      <c r="C53" s="11" t="str">
        <f>'Order Calculation'!B15</f>
        <v>JAR</v>
      </c>
      <c r="D53" s="12">
        <f>'Order Calculation'!C15</f>
        <v>3</v>
      </c>
      <c r="E53" s="12">
        <f>'Order Calculation'!D15</f>
        <v>25</v>
      </c>
      <c r="F53" s="12">
        <f>'Order Calculation'!E15</f>
        <v>10</v>
      </c>
      <c r="G53" s="12">
        <f>'Order Calculation'!F15</f>
        <v>10</v>
      </c>
      <c r="H53" s="12">
        <f>'Order Calculation'!G15</f>
        <v>2</v>
      </c>
      <c r="I53" s="12">
        <f>'Order Calculation'!H15</f>
        <v>16</v>
      </c>
      <c r="J53" s="12">
        <f>'Order Calculation'!I15</f>
        <v>7</v>
      </c>
      <c r="K53" s="12">
        <f>'Order Calculation'!J15</f>
        <v>10</v>
      </c>
      <c r="L53" s="12">
        <f>'Order Calculation'!K15</f>
        <v>15</v>
      </c>
      <c r="M53" s="12">
        <f>'Order Calculation'!L15</f>
        <v>3</v>
      </c>
      <c r="N53" s="12">
        <f>'Order Calculation'!M15</f>
        <v>14</v>
      </c>
      <c r="O53" s="12">
        <f>'Order Calculation'!N15</f>
        <v>8</v>
      </c>
      <c r="P53" s="12">
        <f>'Order Calculation'!O15</f>
        <v>3</v>
      </c>
      <c r="Q53" s="12">
        <f>'Order Calculation'!P15</f>
        <v>23</v>
      </c>
      <c r="R53" s="12">
        <f>'Order Calculation'!Q15</f>
        <v>3</v>
      </c>
      <c r="S53" s="13">
        <f>'Order Calculation'!V15/6</f>
        <v>9</v>
      </c>
      <c r="T53" s="13">
        <f>S53*$D$5</f>
        <v>27</v>
      </c>
      <c r="U53" s="13">
        <f>S53*$D$6</f>
        <v>13.5</v>
      </c>
      <c r="V53" s="14">
        <f>ROUNDUP(T53+U53,0)</f>
        <v>41</v>
      </c>
      <c r="W53" s="14">
        <f>'Order Calculation'!Y15</f>
        <v>42</v>
      </c>
      <c r="X53" s="14">
        <f t="shared" si="4"/>
        <v>0</v>
      </c>
      <c r="Y53" s="15">
        <v>13.8</v>
      </c>
      <c r="Z53" s="16">
        <f t="shared" si="5"/>
        <v>1338.462</v>
      </c>
      <c r="AA53" s="16">
        <f t="shared" si="6"/>
        <v>588.92328</v>
      </c>
      <c r="AB53" s="17">
        <v>66.93</v>
      </c>
      <c r="AC53" s="16">
        <f t="shared" si="7"/>
        <v>1994.31528</v>
      </c>
      <c r="AD53" s="18">
        <f t="shared" si="8"/>
        <v>0</v>
      </c>
    </row>
    <row r="54" ht="15.0" customHeight="1">
      <c r="B54" s="10" t="s">
        <v>79</v>
      </c>
      <c r="C54" s="11" t="str">
        <f>'Order Calculation'!B14</f>
        <v>Accessory</v>
      </c>
      <c r="D54" s="12">
        <f>'Order Calculation'!C14</f>
        <v>2</v>
      </c>
      <c r="E54" s="12">
        <f>'Order Calculation'!D14</f>
        <v>14</v>
      </c>
      <c r="F54" s="12">
        <f>'Order Calculation'!E14</f>
        <v>6</v>
      </c>
      <c r="G54" s="12">
        <f>'Order Calculation'!F14</f>
        <v>2</v>
      </c>
      <c r="H54" s="12">
        <f>'Order Calculation'!G14</f>
        <v>6</v>
      </c>
      <c r="I54" s="12">
        <f>'Order Calculation'!H14</f>
        <v>6</v>
      </c>
      <c r="J54" s="12">
        <f>'Order Calculation'!I14</f>
        <v>9</v>
      </c>
      <c r="K54" s="12">
        <f>'Order Calculation'!J14</f>
        <v>6</v>
      </c>
      <c r="L54" s="12">
        <f>'Order Calculation'!K14</f>
        <v>4</v>
      </c>
      <c r="M54" s="12">
        <f>'Order Calculation'!L14</f>
        <v>4</v>
      </c>
      <c r="N54" s="12">
        <f>'Order Calculation'!M14</f>
        <v>6</v>
      </c>
      <c r="O54" s="12">
        <f>'Order Calculation'!N14</f>
        <v>7</v>
      </c>
      <c r="P54" s="12">
        <f>'Order Calculation'!O14</f>
        <v>2</v>
      </c>
      <c r="Q54" s="12">
        <f>'Order Calculation'!P14</f>
        <v>3</v>
      </c>
      <c r="R54" s="12">
        <f>'Order Calculation'!Q14</f>
        <v>1</v>
      </c>
      <c r="S54" s="13">
        <f>'Order Calculation'!V14/6</f>
        <v>3.833333333</v>
      </c>
      <c r="T54" s="13">
        <f>V54*0.7</f>
        <v>35</v>
      </c>
      <c r="U54" s="13">
        <f>V54*0.3</f>
        <v>15</v>
      </c>
      <c r="V54" s="19">
        <v>50.0</v>
      </c>
      <c r="W54" s="14">
        <f>'Order Calculation'!Y14</f>
        <v>62</v>
      </c>
      <c r="X54" s="14">
        <f t="shared" si="4"/>
        <v>0</v>
      </c>
      <c r="Y54" s="20"/>
      <c r="Z54" s="16">
        <f t="shared" si="5"/>
        <v>0</v>
      </c>
      <c r="AA54" s="16">
        <f t="shared" si="6"/>
        <v>0</v>
      </c>
      <c r="AB54" s="17">
        <v>66.93</v>
      </c>
      <c r="AC54" s="16">
        <f t="shared" si="7"/>
        <v>66.93</v>
      </c>
      <c r="AD54" s="18">
        <f t="shared" si="8"/>
        <v>0</v>
      </c>
    </row>
    <row r="55" ht="15.0" customHeight="1">
      <c r="B55" s="10" t="s">
        <v>80</v>
      </c>
      <c r="C55" s="11" t="str">
        <f>'Order Calculation'!B12</f>
        <v>RETAIL</v>
      </c>
      <c r="D55" s="12" t="str">
        <f>'Order Calculation'!C12</f>
        <v/>
      </c>
      <c r="E55" s="12">
        <f>'Order Calculation'!D12</f>
        <v>1</v>
      </c>
      <c r="F55" s="12">
        <f>'Order Calculation'!E12</f>
        <v>8</v>
      </c>
      <c r="G55" s="12">
        <f>'Order Calculation'!F12</f>
        <v>1</v>
      </c>
      <c r="H55" s="12">
        <f>'Order Calculation'!G12</f>
        <v>3</v>
      </c>
      <c r="I55" s="12" t="str">
        <f>'Order Calculation'!H12</f>
        <v/>
      </c>
      <c r="J55" s="12">
        <f>'Order Calculation'!I12</f>
        <v>1</v>
      </c>
      <c r="K55" s="12" t="str">
        <f>'Order Calculation'!J12</f>
        <v/>
      </c>
      <c r="L55" s="12" t="str">
        <f>'Order Calculation'!K12</f>
        <v/>
      </c>
      <c r="M55" s="12" t="str">
        <f>'Order Calculation'!L12</f>
        <v/>
      </c>
      <c r="N55" s="12" t="str">
        <f>'Order Calculation'!M12</f>
        <v/>
      </c>
      <c r="O55" s="12" t="str">
        <f>'Order Calculation'!N12</f>
        <v/>
      </c>
      <c r="P55" s="12" t="str">
        <f>'Order Calculation'!O12</f>
        <v/>
      </c>
      <c r="Q55" s="12">
        <f>'Order Calculation'!P12</f>
        <v>6</v>
      </c>
      <c r="R55" s="12">
        <f>'Order Calculation'!Q12</f>
        <v>3</v>
      </c>
      <c r="S55" s="13">
        <f>'Order Calculation'!V12/6</f>
        <v>1.5</v>
      </c>
      <c r="T55" s="13">
        <f>S55*$D$5</f>
        <v>4.5</v>
      </c>
      <c r="U55" s="13">
        <f>S55*$D$6</f>
        <v>2.25</v>
      </c>
      <c r="V55" s="14">
        <f>ROUNDUP(T55+U55,0)</f>
        <v>7</v>
      </c>
      <c r="W55" s="14">
        <f>'Order Calculation'!Y12</f>
        <v>10</v>
      </c>
      <c r="X55" s="14">
        <f t="shared" si="4"/>
        <v>0</v>
      </c>
      <c r="Y55" s="15">
        <v>11.1</v>
      </c>
      <c r="Z55" s="16">
        <f t="shared" si="5"/>
        <v>1076.589</v>
      </c>
      <c r="AA55" s="16">
        <f t="shared" si="6"/>
        <v>473.69916</v>
      </c>
      <c r="AB55" s="17">
        <v>21.53</v>
      </c>
      <c r="AC55" s="16">
        <f t="shared" si="7"/>
        <v>1571.81816</v>
      </c>
      <c r="AD55" s="18">
        <f t="shared" si="8"/>
        <v>0</v>
      </c>
    </row>
    <row r="56" ht="15.0" customHeight="1">
      <c r="B56" s="10" t="s">
        <v>81</v>
      </c>
      <c r="C56" s="11" t="str">
        <f>'Order Calculation'!B10</f>
        <v>Accessory</v>
      </c>
      <c r="D56" s="12">
        <f>'Order Calculation'!C10</f>
        <v>2</v>
      </c>
      <c r="E56" s="12">
        <f>'Order Calculation'!D10</f>
        <v>21</v>
      </c>
      <c r="F56" s="12">
        <f>'Order Calculation'!E10</f>
        <v>9</v>
      </c>
      <c r="G56" s="12">
        <f>'Order Calculation'!F10</f>
        <v>8</v>
      </c>
      <c r="H56" s="12">
        <f>'Order Calculation'!G10</f>
        <v>4</v>
      </c>
      <c r="I56" s="12">
        <f>'Order Calculation'!H10</f>
        <v>8</v>
      </c>
      <c r="J56" s="12" t="str">
        <f>'Order Calculation'!I10</f>
        <v/>
      </c>
      <c r="K56" s="12">
        <f>'Order Calculation'!J10</f>
        <v>5</v>
      </c>
      <c r="L56" s="12">
        <f>'Order Calculation'!K10</f>
        <v>6</v>
      </c>
      <c r="M56" s="12">
        <f>'Order Calculation'!L10</f>
        <v>3</v>
      </c>
      <c r="N56" s="12">
        <f>'Order Calculation'!M10</f>
        <v>6</v>
      </c>
      <c r="O56" s="12">
        <f>'Order Calculation'!N10</f>
        <v>3</v>
      </c>
      <c r="P56" s="12">
        <f>'Order Calculation'!O10</f>
        <v>6</v>
      </c>
      <c r="Q56" s="12">
        <f>'Order Calculation'!P10</f>
        <v>6</v>
      </c>
      <c r="R56" s="12">
        <f>'Order Calculation'!Q10</f>
        <v>3</v>
      </c>
      <c r="S56" s="13">
        <f>'Order Calculation'!V10/6</f>
        <v>4.5</v>
      </c>
      <c r="T56" s="13">
        <f t="shared" ref="T56:T57" si="31">V56*0.7</f>
        <v>70</v>
      </c>
      <c r="U56" s="13">
        <f t="shared" ref="U56:U57" si="32">V56*0.3</f>
        <v>30</v>
      </c>
      <c r="V56" s="19">
        <v>100.0</v>
      </c>
      <c r="W56" s="14">
        <f>'Order Calculation'!Y10</f>
        <v>60</v>
      </c>
      <c r="X56" s="14">
        <f t="shared" si="4"/>
        <v>40</v>
      </c>
      <c r="Y56" s="20"/>
      <c r="Z56" s="16">
        <f t="shared" si="5"/>
        <v>0</v>
      </c>
      <c r="AA56" s="16">
        <f t="shared" si="6"/>
        <v>0</v>
      </c>
      <c r="AB56" s="17">
        <v>66.93</v>
      </c>
      <c r="AC56" s="16">
        <f t="shared" si="7"/>
        <v>66.93</v>
      </c>
      <c r="AD56" s="18">
        <f t="shared" si="8"/>
        <v>2677.2</v>
      </c>
    </row>
    <row r="57" ht="15.0" customHeight="1">
      <c r="B57" s="10" t="s">
        <v>82</v>
      </c>
      <c r="C57" s="11" t="str">
        <f>'Order Calculation'!B9</f>
        <v>Accessory</v>
      </c>
      <c r="D57" s="12">
        <f>'Order Calculation'!C9</f>
        <v>4</v>
      </c>
      <c r="E57" s="12">
        <f>'Order Calculation'!D9</f>
        <v>19</v>
      </c>
      <c r="F57" s="12">
        <f>'Order Calculation'!E9</f>
        <v>13</v>
      </c>
      <c r="G57" s="12">
        <f>'Order Calculation'!F9</f>
        <v>9</v>
      </c>
      <c r="H57" s="12">
        <f>'Order Calculation'!G9</f>
        <v>3</v>
      </c>
      <c r="I57" s="12">
        <f>'Order Calculation'!H9</f>
        <v>13</v>
      </c>
      <c r="J57" s="12">
        <f>'Order Calculation'!I9</f>
        <v>4</v>
      </c>
      <c r="K57" s="12">
        <f>'Order Calculation'!J9</f>
        <v>9</v>
      </c>
      <c r="L57" s="12">
        <f>'Order Calculation'!K9</f>
        <v>10</v>
      </c>
      <c r="M57" s="12">
        <f>'Order Calculation'!L9</f>
        <v>3</v>
      </c>
      <c r="N57" s="12">
        <f>'Order Calculation'!M9</f>
        <v>8</v>
      </c>
      <c r="O57" s="12">
        <f>'Order Calculation'!N9</f>
        <v>10</v>
      </c>
      <c r="P57" s="12">
        <f>'Order Calculation'!O9</f>
        <v>4</v>
      </c>
      <c r="Q57" s="12">
        <f>'Order Calculation'!P9</f>
        <v>3</v>
      </c>
      <c r="R57" s="12">
        <f>'Order Calculation'!Q9</f>
        <v>3</v>
      </c>
      <c r="S57" s="13">
        <f>'Order Calculation'!V9/6</f>
        <v>5.166666667</v>
      </c>
      <c r="T57" s="13">
        <f t="shared" si="31"/>
        <v>70</v>
      </c>
      <c r="U57" s="13">
        <f t="shared" si="32"/>
        <v>30</v>
      </c>
      <c r="V57" s="19">
        <v>100.0</v>
      </c>
      <c r="W57" s="14">
        <f>'Order Calculation'!Y9</f>
        <v>45</v>
      </c>
      <c r="X57" s="14">
        <f t="shared" si="4"/>
        <v>55</v>
      </c>
      <c r="Y57" s="20"/>
      <c r="Z57" s="16">
        <f t="shared" si="5"/>
        <v>0</v>
      </c>
      <c r="AA57" s="16">
        <f t="shared" si="6"/>
        <v>0</v>
      </c>
      <c r="AB57" s="17">
        <v>66.93</v>
      </c>
      <c r="AC57" s="16">
        <f t="shared" si="7"/>
        <v>66.93</v>
      </c>
      <c r="AD57" s="18">
        <f t="shared" si="8"/>
        <v>3681.15</v>
      </c>
    </row>
    <row r="58" ht="15.0" customHeight="1">
      <c r="B58" s="10" t="s">
        <v>83</v>
      </c>
      <c r="C58" s="11" t="str">
        <f>'Order Calculation'!B6</f>
        <v>Accessory</v>
      </c>
      <c r="D58" s="12" t="str">
        <f>'Order Calculation'!C6</f>
        <v/>
      </c>
      <c r="E58" s="12">
        <f>'Order Calculation'!D6</f>
        <v>1</v>
      </c>
      <c r="F58" s="12" t="str">
        <f>'Order Calculation'!E6</f>
        <v/>
      </c>
      <c r="G58" s="12" t="str">
        <f>'Order Calculation'!F6</f>
        <v/>
      </c>
      <c r="H58" s="12" t="str">
        <f>'Order Calculation'!G6</f>
        <v/>
      </c>
      <c r="I58" s="12" t="str">
        <f>'Order Calculation'!H6</f>
        <v/>
      </c>
      <c r="J58" s="12" t="str">
        <f>'Order Calculation'!I6</f>
        <v/>
      </c>
      <c r="K58" s="12" t="str">
        <f>'Order Calculation'!J6</f>
        <v/>
      </c>
      <c r="L58" s="12" t="str">
        <f>'Order Calculation'!K6</f>
        <v/>
      </c>
      <c r="M58" s="12" t="str">
        <f>'Order Calculation'!L6</f>
        <v/>
      </c>
      <c r="N58" s="12" t="str">
        <f>'Order Calculation'!M6</f>
        <v/>
      </c>
      <c r="O58" s="12" t="str">
        <f>'Order Calculation'!N6</f>
        <v/>
      </c>
      <c r="P58" s="12" t="str">
        <f>'Order Calculation'!O6</f>
        <v/>
      </c>
      <c r="Q58" s="12" t="str">
        <f>'Order Calculation'!P6</f>
        <v/>
      </c>
      <c r="R58" s="12" t="str">
        <f>'Order Calculation'!Q6</f>
        <v/>
      </c>
      <c r="S58" s="13">
        <f>'Order Calculation'!V6/6</f>
        <v>0</v>
      </c>
      <c r="T58" s="13">
        <f t="shared" ref="T58:T59" si="33">S58*$D$5</f>
        <v>0</v>
      </c>
      <c r="U58" s="13">
        <f t="shared" ref="U58:U59" si="34">S58*$D$6</f>
        <v>0</v>
      </c>
      <c r="V58" s="14">
        <f t="shared" ref="V58:V59" si="35">ROUNDUP(T58+U58,0)</f>
        <v>0</v>
      </c>
      <c r="W58" s="14">
        <f>'Order Calculation'!Y6</f>
        <v>0</v>
      </c>
      <c r="X58" s="14">
        <f t="shared" si="4"/>
        <v>0</v>
      </c>
      <c r="Y58" s="20"/>
      <c r="Z58" s="16">
        <f t="shared" si="5"/>
        <v>0</v>
      </c>
      <c r="AA58" s="16">
        <f t="shared" si="6"/>
        <v>0</v>
      </c>
      <c r="AB58" s="17">
        <v>66.93</v>
      </c>
      <c r="AC58" s="16">
        <f t="shared" si="7"/>
        <v>66.93</v>
      </c>
      <c r="AD58" s="18">
        <f t="shared" si="8"/>
        <v>0</v>
      </c>
    </row>
    <row r="59" ht="15.0" customHeight="1">
      <c r="B59" s="10" t="s">
        <v>84</v>
      </c>
      <c r="C59" s="11" t="str">
        <f>'Order Calculation'!B5</f>
        <v>SAMPLE</v>
      </c>
      <c r="D59" s="12" t="str">
        <f>'Order Calculation'!C5</f>
        <v/>
      </c>
      <c r="E59" s="12" t="str">
        <f>'Order Calculation'!D5</f>
        <v/>
      </c>
      <c r="F59" s="12" t="str">
        <f>'Order Calculation'!E5</f>
        <v/>
      </c>
      <c r="G59" s="12" t="str">
        <f>'Order Calculation'!F5</f>
        <v/>
      </c>
      <c r="H59" s="12" t="str">
        <f>'Order Calculation'!G5</f>
        <v/>
      </c>
      <c r="I59" s="12" t="str">
        <f>'Order Calculation'!H5</f>
        <v/>
      </c>
      <c r="J59" s="12" t="str">
        <f>'Order Calculation'!I5</f>
        <v/>
      </c>
      <c r="K59" s="12" t="str">
        <f>'Order Calculation'!J5</f>
        <v/>
      </c>
      <c r="L59" s="12" t="str">
        <f>'Order Calculation'!K5</f>
        <v/>
      </c>
      <c r="M59" s="12" t="str">
        <f>'Order Calculation'!L5</f>
        <v/>
      </c>
      <c r="N59" s="12" t="str">
        <f>'Order Calculation'!M5</f>
        <v/>
      </c>
      <c r="O59" s="12" t="str">
        <f>'Order Calculation'!N5</f>
        <v/>
      </c>
      <c r="P59" s="12" t="str">
        <f>'Order Calculation'!O5</f>
        <v/>
      </c>
      <c r="Q59" s="12" t="str">
        <f>'Order Calculation'!P5</f>
        <v/>
      </c>
      <c r="R59" s="12" t="str">
        <f>'Order Calculation'!Q5</f>
        <v/>
      </c>
      <c r="S59" s="13">
        <f>'Order Calculation'!V5/6</f>
        <v>0</v>
      </c>
      <c r="T59" s="13">
        <f t="shared" si="33"/>
        <v>0</v>
      </c>
      <c r="U59" s="13">
        <f t="shared" si="34"/>
        <v>0</v>
      </c>
      <c r="V59" s="14">
        <f t="shared" si="35"/>
        <v>0</v>
      </c>
      <c r="W59" s="14">
        <f>'Order Calculation'!Y5</f>
        <v>49</v>
      </c>
      <c r="X59" s="14">
        <f t="shared" si="4"/>
        <v>0</v>
      </c>
      <c r="Y59" s="20"/>
      <c r="Z59" s="16">
        <f t="shared" si="5"/>
        <v>0</v>
      </c>
      <c r="AA59" s="16">
        <f t="shared" si="6"/>
        <v>0</v>
      </c>
      <c r="AB59" s="17">
        <v>66.93</v>
      </c>
      <c r="AC59" s="16">
        <f t="shared" si="7"/>
        <v>66.93</v>
      </c>
      <c r="AD59" s="18">
        <f t="shared" si="8"/>
        <v>0</v>
      </c>
    </row>
    <row r="60" ht="15.0" customHeight="1">
      <c r="B60" s="21" t="s">
        <v>85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3">
        <f>SUM(X10:X59)</f>
        <v>715</v>
      </c>
      <c r="Y60" s="22"/>
      <c r="Z60" s="22"/>
      <c r="AA60" s="22"/>
      <c r="AB60" s="22"/>
      <c r="AC60" s="22"/>
      <c r="AD60" s="23">
        <f>SUM(AD10:AD59)</f>
        <v>886574.7417</v>
      </c>
    </row>
    <row r="61" ht="15.7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5.7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15.7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5.7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15.7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5.7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5.7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15.7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15.7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15.7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15.7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15.7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15.7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15.7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15.7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15.7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15.7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15.7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15.7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15.7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15.7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15.7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15.7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15.7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15.7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15.7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15.7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15.7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15.7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15.7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15.7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15.7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15.7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15.7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15.7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15.7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15.7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15.7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15.7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15.7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15.7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15.7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15.7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15.7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15.7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15.7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15.7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15.7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15.7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15.7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15.7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15.7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15.7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15.7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15.7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15.7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15.7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15.7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15.7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15.7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15.7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15.7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15.7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15.7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5.7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5.7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5.7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15.7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15.7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15.7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15.7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15.7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15.7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15.7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15.7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15.7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15.7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15.7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15.7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15.7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15.7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15.7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15.7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15.7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15.7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15.7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15.7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15.7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15.7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15.7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15.7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15.7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15.7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15.7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15.7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15.7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15.7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15.7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15.7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15.7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15.7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15.7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15.7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15.7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15.7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15.7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15.7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15.7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15.7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15.7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15.7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15.7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15.7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15.7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15.7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15.7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15.7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15.7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15.7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15.7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15.7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15.7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15.7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15.7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15.7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15.7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15.7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15.7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15.7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15.7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15.7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15.7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15.7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15.7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15.7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15.7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15.7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15.7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15.7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15.7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15.7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15.7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15.7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15.7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15.7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15.7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15.7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15.7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15.7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15.7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15.7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15.7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15.7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15.7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15.7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15.7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15.7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15.7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15.7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15.7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15.7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15.7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15.7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15.7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15.7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15.75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15.75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15.75" customHeight="1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15.75" customHeight="1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15.75" customHeight="1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15.75" customHeight="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15.75" customHeight="1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15.75" customHeight="1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15.75" customHeight="1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15.75" customHeight="1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15.75" customHeight="1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15.75" customHeight="1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15.75" customHeight="1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15.75" customHeight="1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15.75" customHeight="1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15.75" customHeight="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15.75" customHeight="1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15.75" customHeight="1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15.75" customHeight="1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15.75" customHeight="1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15.75" customHeight="1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15.75" customHeight="1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15.75" customHeight="1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15.75" customHeight="1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15.75" customHeight="1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15.75" customHeight="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15.75" customHeight="1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15.75" customHeight="1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15.75" customHeight="1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15.75" customHeight="1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15.75" customHeight="1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15.75" customHeight="1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15.75" customHeight="1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15.75" customHeight="1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15.75" customHeight="1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15.75" customHeight="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15.75" customHeight="1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15.75" customHeight="1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15.75" customHeight="1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15.75" customHeight="1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15.75" customHeight="1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15.75" customHeight="1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15.75" customHeight="1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15.75" customHeight="1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15.75" customHeight="1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15.75" customHeight="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15.75" customHeight="1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15.75" customHeight="1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15.75" customHeight="1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15.75" customHeight="1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15.75" customHeight="1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15.75" customHeight="1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15.75" customHeight="1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15.75" customHeight="1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15.75" customHeight="1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15.75" customHeight="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15.75" customHeight="1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15.75" customHeight="1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15.75" customHeight="1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15.75" customHeight="1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15.75" customHeight="1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15.75" customHeight="1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15.75" customHeight="1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15.75" customHeight="1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15.75" customHeight="1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15.75" customHeight="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15.75" customHeight="1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15.75" customHeight="1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15.75" customHeight="1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15.75" customHeight="1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15.75" customHeight="1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15.75" customHeight="1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15.75" customHeight="1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15.75" customHeight="1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15.75" customHeight="1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15.75" customHeight="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15.75" customHeight="1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15.75" customHeight="1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15.75" customHeight="1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15.75" customHeight="1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ht="15.75" customHeight="1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ht="15.75" customHeight="1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ht="15.75" customHeight="1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15.75" customHeight="1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ht="15.75" customHeight="1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ht="15.75" customHeight="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ht="15.75" customHeight="1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ht="15.75" customHeight="1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ht="15.75" customHeight="1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ht="15.75" customHeight="1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ht="15.75" customHeight="1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ht="15.75" customHeight="1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ht="15.75" customHeight="1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ht="15.75" customHeight="1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ht="15.75" customHeight="1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ht="15.75" customHeight="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ht="15.75" customHeight="1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ht="15.75" customHeight="1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ht="15.75" customHeight="1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ht="15.75" customHeight="1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ht="15.75" customHeight="1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ht="15.75" customHeight="1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ht="15.75" customHeight="1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ht="15.75" customHeight="1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ht="15.75" customHeight="1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ht="15.75" customHeight="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ht="15.75" customHeight="1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ht="15.75" customHeight="1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ht="15.75" customHeight="1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ht="15.75" customHeight="1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ht="15.75" customHeight="1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ht="15.75" customHeight="1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ht="15.75" customHeight="1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ht="15.75" customHeight="1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ht="15.75" customHeight="1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ht="15.75" customHeight="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ht="15.75" customHeight="1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ht="15.75" customHeight="1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ht="15.75" customHeight="1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ht="15.75" customHeight="1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ht="15.75" customHeight="1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ht="15.75" customHeight="1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ht="15.75" customHeight="1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ht="15.75" customHeight="1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ht="15.75" customHeight="1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ht="15.75" customHeight="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ht="15.75" customHeight="1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ht="15.75" customHeight="1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ht="15.75" customHeight="1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ht="15.75" customHeight="1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ht="15.75" customHeight="1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ht="15.75" customHeight="1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ht="15.75" customHeight="1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ht="15.75" customHeight="1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ht="15.75" customHeight="1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ht="15.75" customHeight="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ht="15.75" customHeight="1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ht="15.75" customHeight="1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ht="15.75" customHeight="1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ht="15.75" customHeight="1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ht="15.75" customHeight="1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ht="15.75" customHeight="1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ht="15.75" customHeight="1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ht="15.75" customHeight="1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ht="15.75" customHeight="1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ht="15.75" customHeight="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ht="15.75" customHeight="1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ht="15.75" customHeight="1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ht="15.75" customHeight="1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ht="15.75" customHeight="1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ht="15.75" customHeight="1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ht="15.75" customHeight="1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ht="15.75" customHeight="1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ht="15.75" customHeight="1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ht="15.75" customHeight="1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ht="15.75" customHeight="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ht="15.75" customHeight="1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ht="15.75" customHeight="1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ht="15.75" customHeight="1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ht="15.75" customHeight="1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ht="15.75" customHeight="1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ht="15.75" customHeight="1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ht="15.75" customHeight="1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ht="15.75" customHeight="1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ht="15.75" customHeight="1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ht="15.75" customHeight="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ht="15.75" customHeight="1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ht="15.75" customHeight="1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ht="15.75" customHeight="1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ht="15.75" customHeight="1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ht="15.75" customHeight="1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ht="15.75" customHeight="1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ht="15.75" customHeight="1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ht="15.75" customHeight="1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ht="15.75" customHeight="1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ht="15.75" customHeight="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ht="15.75" customHeight="1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ht="15.75" customHeight="1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ht="15.75" customHeight="1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ht="15.75" customHeight="1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ht="15.75" customHeight="1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ht="15.75" customHeight="1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ht="15.75" customHeight="1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ht="15.75" customHeight="1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ht="15.75" customHeight="1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ht="15.75" customHeight="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ht="15.75" customHeight="1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ht="15.75" customHeight="1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ht="15.75" customHeight="1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ht="15.75" customHeight="1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ht="15.75" customHeight="1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ht="15.75" customHeight="1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ht="15.75" customHeight="1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ht="15.75" customHeight="1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ht="15.75" customHeight="1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ht="15.75" customHeight="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ht="15.75" customHeight="1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ht="15.75" customHeight="1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ht="15.75" customHeight="1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ht="15.75" customHeight="1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ht="15.75" customHeight="1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ht="15.75" customHeight="1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ht="15.75" customHeight="1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ht="15.75" customHeight="1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ht="15.75" customHeight="1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ht="15.75" customHeight="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ht="15.75" customHeight="1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ht="15.75" customHeight="1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ht="15.75" customHeight="1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ht="15.75" customHeight="1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ht="15.75" customHeight="1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ht="15.75" customHeight="1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ht="15.75" customHeight="1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ht="15.75" customHeight="1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ht="15.75" customHeight="1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ht="15.75" customHeight="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ht="15.75" customHeight="1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ht="15.75" customHeight="1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ht="15.75" customHeight="1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ht="15.75" customHeight="1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ht="15.75" customHeight="1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ht="15.75" customHeight="1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ht="15.75" customHeight="1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ht="15.75" customHeight="1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ht="15.75" customHeight="1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ht="15.75" customHeight="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ht="15.75" customHeight="1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ht="15.75" customHeight="1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ht="15.75" customHeight="1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ht="15.75" customHeight="1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ht="15.75" customHeight="1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ht="15.75" customHeight="1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ht="15.75" customHeight="1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ht="15.75" customHeight="1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ht="15.75" customHeight="1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ht="15.75" customHeight="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ht="15.75" customHeight="1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ht="15.75" customHeight="1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ht="15.75" customHeight="1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ht="15.75" customHeight="1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ht="15.75" customHeight="1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ht="15.75" customHeight="1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ht="15.75" customHeight="1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ht="15.75" customHeight="1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ht="15.75" customHeight="1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ht="15.75" customHeight="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ht="15.75" customHeight="1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ht="15.75" customHeight="1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ht="15.75" customHeight="1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ht="15.75" customHeight="1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ht="15.75" customHeight="1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ht="15.75" customHeight="1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ht="15.75" customHeight="1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ht="15.75" customHeight="1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ht="15.75" customHeight="1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ht="15.75" customHeight="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ht="15.75" customHeight="1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ht="15.75" customHeight="1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ht="15.75" customHeight="1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ht="15.75" customHeight="1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ht="15.75" customHeight="1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ht="15.75" customHeight="1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ht="15.75" customHeight="1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ht="15.75" customHeight="1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ht="15.75" customHeight="1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ht="15.75" customHeight="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ht="15.75" customHeight="1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ht="15.75" customHeight="1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ht="15.75" customHeight="1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ht="15.75" customHeight="1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ht="15.75" customHeight="1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ht="15.75" customHeight="1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ht="15.75" customHeight="1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ht="15.75" customHeight="1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ht="15.75" customHeight="1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ht="15.75" customHeight="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ht="15.75" customHeight="1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ht="15.75" customHeight="1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ht="15.75" customHeight="1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ht="15.75" customHeight="1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ht="15.75" customHeight="1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ht="15.75" customHeight="1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ht="15.75" customHeight="1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ht="15.75" customHeight="1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ht="15.75" customHeight="1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ht="15.75" customHeight="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ht="15.75" customHeight="1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ht="15.75" customHeight="1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ht="15.75" customHeight="1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ht="15.75" customHeight="1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ht="15.75" customHeight="1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ht="15.75" customHeight="1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ht="15.75" customHeight="1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ht="15.75" customHeight="1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ht="15.75" customHeight="1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ht="15.75" customHeight="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ht="15.75" customHeight="1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ht="15.75" customHeight="1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ht="15.75" customHeight="1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ht="15.75" customHeight="1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ht="15.75" customHeight="1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ht="15.75" customHeight="1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ht="15.75" customHeight="1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ht="15.75" customHeight="1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ht="15.75" customHeight="1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ht="15.75" customHeight="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ht="15.75" customHeight="1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ht="15.75" customHeight="1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ht="15.75" customHeight="1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ht="15.75" customHeight="1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ht="15.75" customHeight="1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ht="15.75" customHeight="1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ht="15.75" customHeight="1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ht="15.75" customHeight="1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ht="15.75" customHeight="1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ht="15.75" customHeight="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ht="15.75" customHeight="1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ht="15.75" customHeight="1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ht="15.75" customHeight="1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ht="15.75" customHeight="1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ht="15.75" customHeight="1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ht="15.75" customHeight="1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ht="15.75" customHeight="1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ht="15.75" customHeight="1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ht="15.75" customHeight="1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ht="15.75" customHeight="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ht="15.75" customHeight="1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ht="15.75" customHeight="1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ht="15.75" customHeight="1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ht="15.75" customHeight="1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ht="15.75" customHeight="1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ht="15.75" customHeight="1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ht="15.75" customHeight="1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ht="15.75" customHeight="1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ht="15.75" customHeight="1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ht="15.75" customHeight="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ht="15.75" customHeight="1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ht="15.75" customHeight="1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ht="15.75" customHeight="1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ht="15.75" customHeight="1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ht="15.75" customHeight="1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ht="15.75" customHeight="1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ht="15.75" customHeight="1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ht="15.75" customHeight="1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ht="15.75" customHeight="1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ht="15.75" customHeight="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ht="15.75" customHeight="1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ht="15.75" customHeight="1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ht="15.75" customHeight="1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ht="15.75" customHeight="1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ht="15.75" customHeight="1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ht="15.75" customHeight="1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ht="15.75" customHeight="1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ht="15.75" customHeight="1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ht="15.75" customHeight="1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ht="15.75" customHeight="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ht="15.75" customHeight="1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ht="15.75" customHeight="1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ht="15.75" customHeight="1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ht="15.75" customHeight="1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ht="15.75" customHeight="1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ht="15.75" customHeight="1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ht="15.75" customHeight="1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ht="15.75" customHeight="1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ht="15.75" customHeight="1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ht="15.75" customHeight="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ht="15.75" customHeight="1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ht="15.75" customHeight="1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ht="15.75" customHeight="1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ht="15.75" customHeight="1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ht="15.75" customHeight="1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ht="15.75" customHeight="1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ht="15.75" customHeight="1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ht="15.75" customHeight="1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ht="15.75" customHeight="1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ht="15.75" customHeight="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ht="15.75" customHeight="1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ht="15.75" customHeight="1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ht="15.75" customHeight="1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ht="15.75" customHeight="1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ht="15.75" customHeight="1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ht="15.75" customHeight="1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ht="15.75" customHeight="1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ht="15.75" customHeight="1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ht="15.75" customHeight="1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ht="15.75" customHeight="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ht="15.75" customHeight="1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ht="15.75" customHeight="1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ht="15.75" customHeight="1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ht="15.75" customHeight="1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ht="15.75" customHeight="1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ht="15.75" customHeight="1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ht="15.75" customHeight="1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ht="15.75" customHeight="1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ht="15.75" customHeight="1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ht="15.75" customHeight="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ht="15.75" customHeight="1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ht="15.75" customHeight="1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ht="15.75" customHeight="1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ht="15.75" customHeight="1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ht="15.75" customHeight="1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ht="15.75" customHeight="1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ht="15.75" customHeight="1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ht="15.75" customHeight="1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ht="15.75" customHeight="1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ht="15.75" customHeight="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ht="15.75" customHeight="1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ht="15.75" customHeight="1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ht="15.75" customHeight="1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ht="15.75" customHeight="1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ht="15.75" customHeight="1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ht="15.75" customHeight="1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ht="15.75" customHeight="1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ht="15.75" customHeight="1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ht="15.75" customHeight="1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ht="15.75" customHeight="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ht="15.75" customHeight="1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ht="15.75" customHeight="1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ht="15.75" customHeight="1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ht="15.75" customHeight="1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ht="15.75" customHeight="1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ht="15.75" customHeight="1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ht="15.75" customHeight="1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ht="15.75" customHeight="1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ht="15.75" customHeight="1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ht="15.75" customHeight="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ht="15.75" customHeight="1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ht="15.75" customHeight="1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ht="15.75" customHeight="1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ht="15.75" customHeight="1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ht="15.75" customHeight="1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ht="15.75" customHeight="1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ht="15.75" customHeight="1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ht="15.75" customHeight="1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ht="15.75" customHeight="1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ht="15.75" customHeight="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ht="15.75" customHeight="1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ht="15.75" customHeight="1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ht="15.75" customHeight="1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ht="15.75" customHeight="1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ht="15.75" customHeight="1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ht="15.75" customHeight="1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ht="15.75" customHeight="1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ht="15.75" customHeight="1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ht="15.75" customHeight="1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ht="15.75" customHeight="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ht="15.75" customHeight="1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ht="15.75" customHeight="1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ht="15.75" customHeight="1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ht="15.75" customHeight="1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ht="15.75" customHeight="1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ht="15.75" customHeight="1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ht="15.75" customHeight="1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ht="15.75" customHeight="1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ht="15.75" customHeight="1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ht="15.75" customHeight="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ht="15.75" customHeight="1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ht="15.75" customHeight="1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ht="15.75" customHeight="1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ht="15.75" customHeight="1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ht="15.75" customHeight="1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ht="15.75" customHeight="1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ht="15.75" customHeight="1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ht="15.75" customHeight="1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ht="15.75" customHeight="1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ht="15.75" customHeight="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ht="15.75" customHeight="1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ht="15.75" customHeight="1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ht="15.75" customHeight="1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ht="15.75" customHeight="1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ht="15.75" customHeight="1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ht="15.75" customHeight="1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ht="15.75" customHeight="1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ht="15.75" customHeight="1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ht="15.75" customHeight="1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ht="15.75" customHeight="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ht="15.75" customHeight="1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ht="15.75" customHeight="1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ht="15.75" customHeight="1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ht="15.75" customHeight="1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ht="15.75" customHeight="1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ht="15.75" customHeight="1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ht="15.75" customHeight="1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ht="15.75" customHeight="1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ht="15.75" customHeight="1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ht="15.75" customHeight="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ht="15.75" customHeight="1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ht="15.75" customHeight="1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ht="15.75" customHeight="1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ht="15.75" customHeight="1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ht="15.75" customHeight="1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ht="15.75" customHeight="1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ht="15.75" customHeight="1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ht="15.75" customHeight="1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ht="15.75" customHeight="1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ht="15.75" customHeight="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ht="15.75" customHeight="1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ht="15.75" customHeight="1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ht="15.75" customHeight="1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ht="15.75" customHeight="1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ht="15.75" customHeight="1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ht="15.75" customHeight="1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ht="15.75" customHeight="1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ht="15.75" customHeight="1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ht="15.75" customHeight="1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ht="15.75" customHeight="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ht="15.75" customHeight="1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ht="15.75" customHeight="1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ht="15.75" customHeight="1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ht="15.75" customHeight="1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ht="15.75" customHeight="1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ht="15.75" customHeight="1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ht="15.75" customHeight="1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ht="15.75" customHeight="1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ht="15.75" customHeight="1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ht="15.75" customHeight="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ht="15.75" customHeight="1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ht="15.75" customHeight="1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ht="15.75" customHeight="1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ht="15.75" customHeight="1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ht="15.75" customHeight="1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ht="15.75" customHeight="1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ht="15.75" customHeight="1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ht="15.75" customHeight="1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ht="15.75" customHeight="1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ht="15.75" customHeight="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ht="15.75" customHeight="1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ht="15.75" customHeight="1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ht="15.75" customHeight="1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ht="15.75" customHeight="1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ht="15.75" customHeight="1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ht="15.75" customHeight="1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ht="15.75" customHeight="1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ht="15.75" customHeight="1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ht="15.75" customHeight="1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ht="15.75" customHeight="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ht="15.75" customHeight="1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ht="15.75" customHeight="1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ht="15.75" customHeight="1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ht="15.75" customHeight="1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ht="15.75" customHeight="1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ht="15.75" customHeight="1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ht="15.75" customHeight="1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ht="15.75" customHeight="1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ht="15.75" customHeight="1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ht="15.75" customHeight="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ht="15.75" customHeight="1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ht="15.75" customHeight="1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ht="15.75" customHeight="1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ht="15.75" customHeight="1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ht="15.75" customHeight="1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ht="15.75" customHeight="1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ht="15.75" customHeight="1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ht="15.75" customHeight="1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ht="15.75" customHeight="1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ht="15.75" customHeight="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ht="15.75" customHeight="1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ht="15.75" customHeight="1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ht="15.75" customHeight="1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ht="15.75" customHeight="1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ht="15.75" customHeight="1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ht="15.75" customHeight="1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ht="15.75" customHeight="1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ht="15.75" customHeight="1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ht="15.75" customHeight="1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ht="15.75" customHeight="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ht="15.75" customHeight="1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ht="15.75" customHeight="1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ht="15.75" customHeight="1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ht="15.75" customHeight="1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ht="15.75" customHeight="1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ht="15.75" customHeight="1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ht="15.75" customHeight="1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ht="15.75" customHeight="1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ht="15.75" customHeight="1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ht="15.75" customHeight="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ht="15.75" customHeight="1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ht="15.75" customHeight="1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ht="15.75" customHeight="1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ht="15.75" customHeight="1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ht="15.75" customHeight="1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ht="15.75" customHeight="1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ht="15.75" customHeight="1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ht="15.75" customHeight="1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ht="15.75" customHeight="1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ht="15.75" customHeight="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ht="15.75" customHeight="1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ht="15.75" customHeight="1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ht="15.75" customHeight="1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ht="15.75" customHeight="1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ht="15.75" customHeight="1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ht="15.75" customHeight="1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ht="15.75" customHeight="1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ht="15.75" customHeight="1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ht="15.75" customHeight="1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ht="15.75" customHeight="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ht="15.75" customHeight="1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ht="15.75" customHeight="1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ht="15.75" customHeight="1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ht="15.75" customHeight="1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ht="15.75" customHeight="1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ht="15.75" customHeight="1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ht="15.75" customHeight="1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ht="15.75" customHeight="1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ht="15.75" customHeight="1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ht="15.75" customHeight="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ht="15.75" customHeight="1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ht="15.75" customHeight="1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ht="15.75" customHeight="1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ht="15.75" customHeight="1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ht="15.75" customHeight="1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ht="15.75" customHeight="1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ht="15.75" customHeight="1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ht="15.75" customHeight="1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ht="15.75" customHeight="1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ht="15.75" customHeight="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ht="15.75" customHeight="1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ht="15.75" customHeight="1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ht="15.75" customHeight="1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ht="15.75" customHeight="1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ht="15.75" customHeight="1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ht="15.75" customHeight="1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ht="15.75" customHeight="1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ht="15.75" customHeight="1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ht="15.75" customHeight="1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ht="15.75" customHeight="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ht="15.75" customHeight="1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ht="15.75" customHeight="1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ht="15.75" customHeight="1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ht="15.75" customHeight="1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ht="15.75" customHeight="1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ht="15.75" customHeight="1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ht="15.75" customHeight="1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ht="15.75" customHeight="1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ht="15.75" customHeight="1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ht="15.75" customHeight="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ht="15.75" customHeight="1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ht="15.75" customHeight="1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ht="15.75" customHeight="1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ht="15.75" customHeight="1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ht="15.75" customHeight="1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ht="15.75" customHeight="1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ht="15.75" customHeight="1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ht="15.75" customHeight="1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ht="15.75" customHeight="1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ht="15.75" customHeight="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ht="15.75" customHeight="1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ht="15.75" customHeight="1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ht="15.75" customHeight="1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ht="15.75" customHeight="1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ht="15.75" customHeight="1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ht="15.75" customHeight="1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ht="15.75" customHeight="1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ht="15.75" customHeight="1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ht="15.75" customHeight="1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ht="15.75" customHeight="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ht="15.75" customHeight="1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ht="15.75" customHeight="1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ht="15.75" customHeight="1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ht="15.75" customHeight="1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ht="15.75" customHeight="1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ht="15.75" customHeight="1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ht="15.75" customHeight="1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ht="15.75" customHeight="1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ht="15.75" customHeight="1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ht="15.75" customHeight="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ht="15.75" customHeight="1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ht="15.75" customHeight="1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ht="15.75" customHeight="1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ht="15.75" customHeight="1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ht="15.75" customHeight="1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ht="15.75" customHeight="1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ht="15.75" customHeight="1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ht="15.75" customHeight="1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ht="15.75" customHeight="1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ht="15.75" customHeight="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ht="15.75" customHeight="1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ht="15.75" customHeight="1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ht="15.75" customHeight="1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ht="15.75" customHeight="1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ht="15.75" customHeight="1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ht="15.75" customHeight="1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ht="15.75" customHeight="1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ht="15.75" customHeight="1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ht="15.75" customHeight="1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ht="15.75" customHeight="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ht="15.75" customHeight="1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ht="15.75" customHeight="1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ht="15.75" customHeight="1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ht="15.75" customHeight="1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ht="15.75" customHeight="1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ht="15.75" customHeight="1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ht="15.75" customHeight="1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ht="15.75" customHeight="1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ht="15.75" customHeight="1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ht="15.75" customHeight="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ht="15.75" customHeight="1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ht="15.75" customHeight="1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ht="15.75" customHeight="1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ht="15.75" customHeight="1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ht="15.75" customHeight="1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ht="15.75" customHeight="1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ht="15.75" customHeight="1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ht="15.75" customHeight="1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ht="15.75" customHeight="1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ht="15.75" customHeight="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ht="15.75" customHeight="1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ht="15.75" customHeight="1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ht="15.75" customHeight="1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ht="15.75" customHeight="1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ht="15.75" customHeight="1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ht="15.75" customHeight="1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ht="15.75" customHeight="1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ht="15.75" customHeight="1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ht="15.75" customHeight="1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ht="15.75" customHeight="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ht="15.75" customHeight="1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ht="15.75" customHeight="1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ht="15.75" customHeight="1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ht="15.75" customHeight="1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ht="15.75" customHeight="1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ht="15.75" customHeight="1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ht="15.75" customHeight="1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ht="15.75" customHeight="1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ht="15.75" customHeight="1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ht="15.75" customHeight="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ht="15.75" customHeight="1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ht="15.75" customHeight="1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ht="15.75" customHeight="1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ht="15.75" customHeight="1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ht="15.75" customHeight="1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ht="15.75" customHeight="1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ht="15.75" customHeight="1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ht="15.75" customHeight="1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ht="15.75" customHeight="1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ht="15.75" customHeight="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ht="15.75" customHeight="1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ht="15.75" customHeight="1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ht="15.75" customHeight="1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ht="15.75" customHeight="1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ht="15.75" customHeight="1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ht="15.75" customHeight="1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ht="15.75" customHeight="1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ht="15.75" customHeight="1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ht="15.75" customHeight="1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ht="15.75" customHeight="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ht="15.75" customHeight="1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ht="15.75" customHeight="1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ht="15.75" customHeight="1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ht="15.75" customHeight="1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ht="15.75" customHeight="1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ht="15.75" customHeight="1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ht="15.75" customHeight="1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ht="15.75" customHeight="1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ht="15.75" customHeight="1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ht="15.75" customHeight="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ht="15.75" customHeight="1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ht="15.75" customHeight="1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ht="15.75" customHeight="1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ht="15.75" customHeight="1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ht="15.75" customHeight="1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ht="15.75" customHeight="1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ht="15.75" customHeight="1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ht="15.75" customHeight="1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ht="15.75" customHeight="1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ht="15.75" customHeight="1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ht="15.75" customHeight="1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ht="15.75" customHeight="1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ht="15.75" customHeight="1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ht="15.75" customHeight="1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ht="15.75" customHeight="1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ht="15.75" customHeight="1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ht="15.75" customHeight="1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ht="15.75" customHeight="1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ht="15.75" customHeight="1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42.0"/>
    <col customWidth="1" min="2" max="2" width="11.0"/>
    <col customWidth="1" min="3" max="17" width="7.0"/>
    <col customWidth="1" min="18" max="27" width="12.0"/>
  </cols>
  <sheetData>
    <row r="1" ht="18.75" hidden="1" customHeight="1">
      <c r="A1" s="24"/>
      <c r="B1" s="25"/>
      <c r="C1" s="26">
        <v>1.0</v>
      </c>
      <c r="D1" s="26">
        <v>2.0</v>
      </c>
      <c r="E1" s="26">
        <v>3.0</v>
      </c>
      <c r="F1" s="26">
        <v>4.0</v>
      </c>
      <c r="G1" s="26">
        <v>5.0</v>
      </c>
      <c r="H1" s="26">
        <v>6.0</v>
      </c>
      <c r="I1" s="26">
        <v>7.0</v>
      </c>
      <c r="J1" s="26">
        <v>8.0</v>
      </c>
      <c r="K1" s="26">
        <v>9.0</v>
      </c>
      <c r="L1" s="26">
        <v>10.0</v>
      </c>
      <c r="M1" s="26">
        <v>11.0</v>
      </c>
      <c r="N1" s="26">
        <v>12.0</v>
      </c>
      <c r="O1" s="26">
        <v>13.0</v>
      </c>
      <c r="P1" s="26">
        <v>14.0</v>
      </c>
      <c r="Q1" s="26">
        <v>15.0</v>
      </c>
      <c r="R1" s="27"/>
      <c r="S1" s="28"/>
      <c r="T1" s="26" t="s">
        <v>86</v>
      </c>
      <c r="U1" s="25"/>
      <c r="V1" s="25"/>
      <c r="W1" s="25"/>
      <c r="X1" s="25"/>
      <c r="Y1" s="25"/>
      <c r="Z1" s="25"/>
      <c r="AA1" s="25"/>
    </row>
    <row r="2" ht="48.0" customHeight="1">
      <c r="A2" s="29" t="s">
        <v>87</v>
      </c>
      <c r="B2" s="29" t="s">
        <v>88</v>
      </c>
      <c r="C2" s="30">
        <v>45748.0</v>
      </c>
      <c r="D2" s="30">
        <v>45778.0</v>
      </c>
      <c r="E2" s="30">
        <v>45809.0</v>
      </c>
      <c r="F2" s="30">
        <v>45839.0</v>
      </c>
      <c r="G2" s="30">
        <v>45870.0</v>
      </c>
      <c r="H2" s="30">
        <v>45901.0</v>
      </c>
      <c r="I2" s="30">
        <v>45931.0</v>
      </c>
      <c r="J2" s="30">
        <v>45962.0</v>
      </c>
      <c r="K2" s="30">
        <v>45992.0</v>
      </c>
      <c r="L2" s="30">
        <v>46023.0</v>
      </c>
      <c r="M2" s="30">
        <v>46054.0</v>
      </c>
      <c r="N2" s="30">
        <v>46082.0</v>
      </c>
      <c r="O2" s="30">
        <v>46113.0</v>
      </c>
      <c r="P2" s="30">
        <v>46143.0</v>
      </c>
      <c r="Q2" s="30">
        <v>46174.0</v>
      </c>
      <c r="R2" s="29" t="s">
        <v>89</v>
      </c>
      <c r="S2" s="29" t="s">
        <v>90</v>
      </c>
      <c r="T2" s="29" t="s">
        <v>91</v>
      </c>
      <c r="U2" s="29" t="s">
        <v>92</v>
      </c>
      <c r="V2" s="29" t="s">
        <v>93</v>
      </c>
      <c r="W2" s="29" t="s">
        <v>94</v>
      </c>
      <c r="X2" s="29" t="s">
        <v>95</v>
      </c>
      <c r="Y2" s="29" t="s">
        <v>96</v>
      </c>
      <c r="Z2" s="29" t="s">
        <v>97</v>
      </c>
      <c r="AA2" s="29" t="s">
        <v>98</v>
      </c>
    </row>
    <row r="3" ht="23.25" customHeight="1">
      <c r="A3" s="31" t="s">
        <v>35</v>
      </c>
      <c r="B3" s="32" t="s">
        <v>99</v>
      </c>
      <c r="C3" s="32">
        <v>5.0</v>
      </c>
      <c r="D3" s="32">
        <v>70.0</v>
      </c>
      <c r="E3" s="32">
        <v>38.0</v>
      </c>
      <c r="F3" s="32">
        <v>18.0</v>
      </c>
      <c r="G3" s="32">
        <v>41.0</v>
      </c>
      <c r="H3" s="32">
        <v>19.0</v>
      </c>
      <c r="I3" s="32">
        <v>13.0</v>
      </c>
      <c r="J3" s="32">
        <v>47.0</v>
      </c>
      <c r="K3" s="32">
        <v>59.0</v>
      </c>
      <c r="L3" s="32">
        <v>34.0</v>
      </c>
      <c r="M3" s="32">
        <v>44.0</v>
      </c>
      <c r="N3" s="32">
        <v>12.0</v>
      </c>
      <c r="O3" s="32">
        <v>29.0</v>
      </c>
      <c r="P3" s="32">
        <v>45.0</v>
      </c>
      <c r="Q3" s="32">
        <v>55.0</v>
      </c>
      <c r="R3" s="33"/>
      <c r="S3" s="34">
        <v>5.0</v>
      </c>
      <c r="T3" s="13">
        <f t="shared" ref="T3:T52" si="1">SUM(C3:Q3)/15</f>
        <v>35.26666667</v>
      </c>
      <c r="U3" s="13">
        <f t="shared" ref="U3:U52" si="2">SUM(F3:Q3)/12</f>
        <v>34.66666667</v>
      </c>
      <c r="V3" s="35">
        <f t="shared" ref="V3:V52" si="3">SUM(L3:Q3)</f>
        <v>219</v>
      </c>
      <c r="W3" s="13">
        <f t="shared" ref="W3:W52" si="4">SUM(O3:Q3)/3</f>
        <v>43</v>
      </c>
      <c r="X3" s="14">
        <f t="shared" ref="X3:X52" si="5">W3*3</f>
        <v>129</v>
      </c>
      <c r="Y3" s="36">
        <v>28.0</v>
      </c>
      <c r="Z3" s="14">
        <f t="shared" ref="Z3:Z52" si="6">X3-Y3</f>
        <v>101</v>
      </c>
      <c r="AA3" s="14">
        <f t="shared" ref="AA3:AA52" si="7">MAX(0,(X3+S3+N(R3))-Y3)</f>
        <v>106</v>
      </c>
    </row>
    <row r="4" ht="15.75" customHeight="1">
      <c r="A4" s="31" t="s">
        <v>36</v>
      </c>
      <c r="B4" s="32" t="s">
        <v>99</v>
      </c>
      <c r="C4" s="32">
        <v>9.0</v>
      </c>
      <c r="D4" s="32">
        <v>86.0</v>
      </c>
      <c r="E4" s="32">
        <v>32.0</v>
      </c>
      <c r="F4" s="32">
        <v>60.0</v>
      </c>
      <c r="G4" s="32">
        <v>14.0</v>
      </c>
      <c r="H4" s="32">
        <v>31.0</v>
      </c>
      <c r="I4" s="32">
        <v>22.0</v>
      </c>
      <c r="J4" s="32">
        <v>57.0</v>
      </c>
      <c r="K4" s="32">
        <v>51.0</v>
      </c>
      <c r="L4" s="32">
        <v>41.0</v>
      </c>
      <c r="M4" s="32">
        <v>53.0</v>
      </c>
      <c r="N4" s="32">
        <v>23.0</v>
      </c>
      <c r="O4" s="32">
        <v>46.0</v>
      </c>
      <c r="P4" s="32">
        <v>35.0</v>
      </c>
      <c r="Q4" s="32">
        <v>32.0</v>
      </c>
      <c r="R4" s="33"/>
      <c r="S4" s="34">
        <v>5.0</v>
      </c>
      <c r="T4" s="13">
        <f t="shared" si="1"/>
        <v>39.46666667</v>
      </c>
      <c r="U4" s="13">
        <f t="shared" si="2"/>
        <v>38.75</v>
      </c>
      <c r="V4" s="35">
        <f t="shared" si="3"/>
        <v>230</v>
      </c>
      <c r="W4" s="13">
        <f t="shared" si="4"/>
        <v>37.66666667</v>
      </c>
      <c r="X4" s="14">
        <f t="shared" si="5"/>
        <v>113</v>
      </c>
      <c r="Y4" s="36">
        <v>64.0</v>
      </c>
      <c r="Z4" s="14">
        <f t="shared" si="6"/>
        <v>49</v>
      </c>
      <c r="AA4" s="14">
        <f t="shared" si="7"/>
        <v>54</v>
      </c>
    </row>
    <row r="5" ht="15.75" customHeight="1">
      <c r="A5" s="31" t="s">
        <v>84</v>
      </c>
      <c r="B5" s="32" t="s">
        <v>100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3"/>
      <c r="S5" s="34">
        <v>100.0</v>
      </c>
      <c r="T5" s="13">
        <f t="shared" si="1"/>
        <v>0</v>
      </c>
      <c r="U5" s="13">
        <f t="shared" si="2"/>
        <v>0</v>
      </c>
      <c r="V5" s="35">
        <f t="shared" si="3"/>
        <v>0</v>
      </c>
      <c r="W5" s="13">
        <f t="shared" si="4"/>
        <v>0</v>
      </c>
      <c r="X5" s="14">
        <f t="shared" si="5"/>
        <v>0</v>
      </c>
      <c r="Y5" s="36">
        <v>49.0</v>
      </c>
      <c r="Z5" s="14">
        <f t="shared" si="6"/>
        <v>-49</v>
      </c>
      <c r="AA5" s="14">
        <f t="shared" si="7"/>
        <v>51</v>
      </c>
    </row>
    <row r="6" ht="15.75" customHeight="1">
      <c r="A6" s="31" t="s">
        <v>83</v>
      </c>
      <c r="B6" s="32" t="s">
        <v>101</v>
      </c>
      <c r="C6" s="32"/>
      <c r="D6" s="32">
        <v>1.0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3"/>
      <c r="S6" s="34">
        <v>50.0</v>
      </c>
      <c r="T6" s="13">
        <f t="shared" si="1"/>
        <v>0.06666666667</v>
      </c>
      <c r="U6" s="13">
        <f t="shared" si="2"/>
        <v>0</v>
      </c>
      <c r="V6" s="35">
        <f t="shared" si="3"/>
        <v>0</v>
      </c>
      <c r="W6" s="13">
        <f t="shared" si="4"/>
        <v>0</v>
      </c>
      <c r="X6" s="14">
        <f t="shared" si="5"/>
        <v>0</v>
      </c>
      <c r="Y6" s="36">
        <v>0.0</v>
      </c>
      <c r="Z6" s="14">
        <f t="shared" si="6"/>
        <v>0</v>
      </c>
      <c r="AA6" s="14">
        <f t="shared" si="7"/>
        <v>50</v>
      </c>
    </row>
    <row r="7" ht="23.25" customHeight="1">
      <c r="A7" s="31" t="s">
        <v>38</v>
      </c>
      <c r="B7" s="32" t="s">
        <v>99</v>
      </c>
      <c r="C7" s="32">
        <v>2.0</v>
      </c>
      <c r="D7" s="32">
        <v>20.0</v>
      </c>
      <c r="E7" s="32">
        <v>17.0</v>
      </c>
      <c r="F7" s="32">
        <v>22.0</v>
      </c>
      <c r="G7" s="32">
        <v>12.0</v>
      </c>
      <c r="H7" s="32">
        <v>23.0</v>
      </c>
      <c r="I7" s="32">
        <v>4.0</v>
      </c>
      <c r="J7" s="32">
        <v>20.0</v>
      </c>
      <c r="K7" s="32">
        <v>12.0</v>
      </c>
      <c r="L7" s="32">
        <v>9.0</v>
      </c>
      <c r="M7" s="32">
        <v>11.0</v>
      </c>
      <c r="N7" s="32">
        <v>10.0</v>
      </c>
      <c r="O7" s="32">
        <v>12.0</v>
      </c>
      <c r="P7" s="32">
        <v>17.0</v>
      </c>
      <c r="Q7" s="32">
        <v>11.0</v>
      </c>
      <c r="R7" s="33"/>
      <c r="S7" s="34">
        <v>5.0</v>
      </c>
      <c r="T7" s="13">
        <f t="shared" si="1"/>
        <v>13.46666667</v>
      </c>
      <c r="U7" s="13">
        <f t="shared" si="2"/>
        <v>13.58333333</v>
      </c>
      <c r="V7" s="35">
        <f t="shared" si="3"/>
        <v>70</v>
      </c>
      <c r="W7" s="13">
        <f t="shared" si="4"/>
        <v>13.33333333</v>
      </c>
      <c r="X7" s="14">
        <f t="shared" si="5"/>
        <v>40</v>
      </c>
      <c r="Y7" s="36">
        <v>1.0</v>
      </c>
      <c r="Z7" s="14">
        <f t="shared" si="6"/>
        <v>39</v>
      </c>
      <c r="AA7" s="14">
        <f t="shared" si="7"/>
        <v>44</v>
      </c>
    </row>
    <row r="8" ht="15.75" customHeight="1">
      <c r="A8" s="31" t="s">
        <v>39</v>
      </c>
      <c r="B8" s="32" t="s">
        <v>99</v>
      </c>
      <c r="C8" s="32">
        <v>17.0</v>
      </c>
      <c r="D8" s="32">
        <v>9.0</v>
      </c>
      <c r="E8" s="32">
        <v>20.0</v>
      </c>
      <c r="F8" s="32">
        <v>5.0</v>
      </c>
      <c r="G8" s="32">
        <v>15.0</v>
      </c>
      <c r="H8" s="32">
        <v>1.0</v>
      </c>
      <c r="I8" s="32">
        <v>3.0</v>
      </c>
      <c r="J8" s="32">
        <v>16.0</v>
      </c>
      <c r="K8" s="32">
        <v>22.0</v>
      </c>
      <c r="L8" s="32">
        <v>1.0</v>
      </c>
      <c r="M8" s="32">
        <v>22.0</v>
      </c>
      <c r="N8" s="32">
        <v>4.0</v>
      </c>
      <c r="O8" s="32">
        <v>27.0</v>
      </c>
      <c r="P8" s="32">
        <v>3.0</v>
      </c>
      <c r="Q8" s="32">
        <v>4.0</v>
      </c>
      <c r="R8" s="33"/>
      <c r="S8" s="34">
        <v>5.0</v>
      </c>
      <c r="T8" s="13">
        <f t="shared" si="1"/>
        <v>11.26666667</v>
      </c>
      <c r="U8" s="13">
        <f t="shared" si="2"/>
        <v>10.25</v>
      </c>
      <c r="V8" s="35">
        <f t="shared" si="3"/>
        <v>61</v>
      </c>
      <c r="W8" s="13">
        <f t="shared" si="4"/>
        <v>11.33333333</v>
      </c>
      <c r="X8" s="14">
        <f t="shared" si="5"/>
        <v>34</v>
      </c>
      <c r="Y8" s="36">
        <v>5.0</v>
      </c>
      <c r="Z8" s="14">
        <f t="shared" si="6"/>
        <v>29</v>
      </c>
      <c r="AA8" s="14">
        <f t="shared" si="7"/>
        <v>34</v>
      </c>
    </row>
    <row r="9" ht="15.75" customHeight="1">
      <c r="A9" s="31" t="s">
        <v>82</v>
      </c>
      <c r="B9" s="32" t="s">
        <v>101</v>
      </c>
      <c r="C9" s="32">
        <v>4.0</v>
      </c>
      <c r="D9" s="32">
        <v>19.0</v>
      </c>
      <c r="E9" s="32">
        <v>13.0</v>
      </c>
      <c r="F9" s="32">
        <v>9.0</v>
      </c>
      <c r="G9" s="32">
        <v>3.0</v>
      </c>
      <c r="H9" s="32">
        <v>13.0</v>
      </c>
      <c r="I9" s="32">
        <v>4.0</v>
      </c>
      <c r="J9" s="32">
        <v>9.0</v>
      </c>
      <c r="K9" s="32">
        <v>10.0</v>
      </c>
      <c r="L9" s="32">
        <v>3.0</v>
      </c>
      <c r="M9" s="32">
        <v>8.0</v>
      </c>
      <c r="N9" s="32">
        <v>10.0</v>
      </c>
      <c r="O9" s="32">
        <v>4.0</v>
      </c>
      <c r="P9" s="32">
        <v>3.0</v>
      </c>
      <c r="Q9" s="32">
        <v>3.0</v>
      </c>
      <c r="R9" s="33"/>
      <c r="S9" s="34">
        <v>50.0</v>
      </c>
      <c r="T9" s="13">
        <f t="shared" si="1"/>
        <v>7.666666667</v>
      </c>
      <c r="U9" s="13">
        <f t="shared" si="2"/>
        <v>6.583333333</v>
      </c>
      <c r="V9" s="35">
        <f t="shared" si="3"/>
        <v>31</v>
      </c>
      <c r="W9" s="13">
        <f t="shared" si="4"/>
        <v>3.333333333</v>
      </c>
      <c r="X9" s="14">
        <f t="shared" si="5"/>
        <v>10</v>
      </c>
      <c r="Y9" s="36">
        <v>45.0</v>
      </c>
      <c r="Z9" s="14">
        <f t="shared" si="6"/>
        <v>-35</v>
      </c>
      <c r="AA9" s="14">
        <f t="shared" si="7"/>
        <v>15</v>
      </c>
    </row>
    <row r="10" ht="15.75" customHeight="1">
      <c r="A10" s="31" t="s">
        <v>81</v>
      </c>
      <c r="B10" s="32" t="s">
        <v>101</v>
      </c>
      <c r="C10" s="32">
        <v>2.0</v>
      </c>
      <c r="D10" s="32">
        <v>21.0</v>
      </c>
      <c r="E10" s="32">
        <v>9.0</v>
      </c>
      <c r="F10" s="32">
        <v>8.0</v>
      </c>
      <c r="G10" s="32">
        <v>4.0</v>
      </c>
      <c r="H10" s="32">
        <v>8.0</v>
      </c>
      <c r="I10" s="32"/>
      <c r="J10" s="32">
        <v>5.0</v>
      </c>
      <c r="K10" s="32">
        <v>6.0</v>
      </c>
      <c r="L10" s="32">
        <v>3.0</v>
      </c>
      <c r="M10" s="32">
        <v>6.0</v>
      </c>
      <c r="N10" s="32">
        <v>3.0</v>
      </c>
      <c r="O10" s="32">
        <v>6.0</v>
      </c>
      <c r="P10" s="32">
        <v>6.0</v>
      </c>
      <c r="Q10" s="32">
        <v>3.0</v>
      </c>
      <c r="R10" s="33"/>
      <c r="S10" s="34">
        <v>50.0</v>
      </c>
      <c r="T10" s="13">
        <f t="shared" si="1"/>
        <v>6</v>
      </c>
      <c r="U10" s="13">
        <f t="shared" si="2"/>
        <v>4.833333333</v>
      </c>
      <c r="V10" s="35">
        <f t="shared" si="3"/>
        <v>27</v>
      </c>
      <c r="W10" s="13">
        <f t="shared" si="4"/>
        <v>5</v>
      </c>
      <c r="X10" s="14">
        <f t="shared" si="5"/>
        <v>15</v>
      </c>
      <c r="Y10" s="36">
        <v>60.0</v>
      </c>
      <c r="Z10" s="14">
        <f t="shared" si="6"/>
        <v>-45</v>
      </c>
      <c r="AA10" s="14">
        <f t="shared" si="7"/>
        <v>5</v>
      </c>
    </row>
    <row r="11" ht="23.25" customHeight="1">
      <c r="A11" s="31" t="s">
        <v>41</v>
      </c>
      <c r="B11" s="32" t="s">
        <v>102</v>
      </c>
      <c r="C11" s="32"/>
      <c r="D11" s="32">
        <v>1.0</v>
      </c>
      <c r="E11" s="32">
        <v>10.0</v>
      </c>
      <c r="F11" s="32"/>
      <c r="G11" s="32">
        <v>1.0</v>
      </c>
      <c r="H11" s="32">
        <v>1.0</v>
      </c>
      <c r="I11" s="32">
        <v>1.0</v>
      </c>
      <c r="J11" s="32">
        <v>1.0</v>
      </c>
      <c r="K11" s="32"/>
      <c r="L11" s="32">
        <v>13.0</v>
      </c>
      <c r="M11" s="32"/>
      <c r="N11" s="32"/>
      <c r="O11" s="32">
        <v>1.0</v>
      </c>
      <c r="P11" s="32">
        <v>8.0</v>
      </c>
      <c r="Q11" s="32"/>
      <c r="R11" s="33"/>
      <c r="S11" s="34">
        <v>5.0</v>
      </c>
      <c r="T11" s="13">
        <f t="shared" si="1"/>
        <v>2.466666667</v>
      </c>
      <c r="U11" s="13">
        <f t="shared" si="2"/>
        <v>2.166666667</v>
      </c>
      <c r="V11" s="35">
        <f t="shared" si="3"/>
        <v>22</v>
      </c>
      <c r="W11" s="13">
        <f t="shared" si="4"/>
        <v>3</v>
      </c>
      <c r="X11" s="14">
        <f t="shared" si="5"/>
        <v>9</v>
      </c>
      <c r="Y11" s="36">
        <v>9.0</v>
      </c>
      <c r="Z11" s="14">
        <f t="shared" si="6"/>
        <v>0</v>
      </c>
      <c r="AA11" s="14">
        <f t="shared" si="7"/>
        <v>5</v>
      </c>
    </row>
    <row r="12" ht="23.25" customHeight="1">
      <c r="A12" s="31" t="s">
        <v>80</v>
      </c>
      <c r="B12" s="32" t="s">
        <v>102</v>
      </c>
      <c r="C12" s="32"/>
      <c r="D12" s="32">
        <v>1.0</v>
      </c>
      <c r="E12" s="32">
        <v>8.0</v>
      </c>
      <c r="F12" s="32">
        <v>1.0</v>
      </c>
      <c r="G12" s="32">
        <v>3.0</v>
      </c>
      <c r="H12" s="32"/>
      <c r="I12" s="32">
        <v>1.0</v>
      </c>
      <c r="J12" s="32"/>
      <c r="K12" s="32"/>
      <c r="L12" s="32"/>
      <c r="M12" s="32"/>
      <c r="N12" s="32"/>
      <c r="O12" s="32"/>
      <c r="P12" s="32">
        <v>6.0</v>
      </c>
      <c r="Q12" s="32">
        <v>3.0</v>
      </c>
      <c r="R12" s="33"/>
      <c r="S12" s="34">
        <v>5.0</v>
      </c>
      <c r="T12" s="13">
        <f t="shared" si="1"/>
        <v>1.533333333</v>
      </c>
      <c r="U12" s="13">
        <f t="shared" si="2"/>
        <v>1.166666667</v>
      </c>
      <c r="V12" s="35">
        <f t="shared" si="3"/>
        <v>9</v>
      </c>
      <c r="W12" s="13">
        <f t="shared" si="4"/>
        <v>3</v>
      </c>
      <c r="X12" s="14">
        <f t="shared" si="5"/>
        <v>9</v>
      </c>
      <c r="Y12" s="36">
        <v>10.0</v>
      </c>
      <c r="Z12" s="14">
        <f t="shared" si="6"/>
        <v>-1</v>
      </c>
      <c r="AA12" s="14">
        <f t="shared" si="7"/>
        <v>4</v>
      </c>
    </row>
    <row r="13" ht="15.75" customHeight="1">
      <c r="A13" s="31" t="s">
        <v>37</v>
      </c>
      <c r="B13" s="32" t="s">
        <v>99</v>
      </c>
      <c r="C13" s="32">
        <v>34.0</v>
      </c>
      <c r="D13" s="32">
        <v>36.0</v>
      </c>
      <c r="E13" s="32">
        <v>16.0</v>
      </c>
      <c r="F13" s="32">
        <v>38.0</v>
      </c>
      <c r="G13" s="32">
        <v>23.0</v>
      </c>
      <c r="H13" s="32">
        <v>5.0</v>
      </c>
      <c r="I13" s="32">
        <v>6.0</v>
      </c>
      <c r="J13" s="32">
        <v>56.0</v>
      </c>
      <c r="K13" s="32">
        <v>29.0</v>
      </c>
      <c r="L13" s="32">
        <v>19.0</v>
      </c>
      <c r="M13" s="32">
        <v>31.0</v>
      </c>
      <c r="N13" s="32">
        <v>19.0</v>
      </c>
      <c r="O13" s="32">
        <v>23.0</v>
      </c>
      <c r="P13" s="32">
        <v>4.0</v>
      </c>
      <c r="Q13" s="32">
        <v>21.0</v>
      </c>
      <c r="R13" s="33"/>
      <c r="S13" s="34">
        <v>5.0</v>
      </c>
      <c r="T13" s="13">
        <f t="shared" si="1"/>
        <v>24</v>
      </c>
      <c r="U13" s="13">
        <f t="shared" si="2"/>
        <v>22.83333333</v>
      </c>
      <c r="V13" s="35">
        <f t="shared" si="3"/>
        <v>117</v>
      </c>
      <c r="W13" s="13">
        <f t="shared" si="4"/>
        <v>16</v>
      </c>
      <c r="X13" s="14">
        <f t="shared" si="5"/>
        <v>48</v>
      </c>
      <c r="Y13" s="36">
        <v>57.0</v>
      </c>
      <c r="Z13" s="14">
        <f t="shared" si="6"/>
        <v>-9</v>
      </c>
      <c r="AA13" s="14">
        <f t="shared" si="7"/>
        <v>0</v>
      </c>
    </row>
    <row r="14" ht="15.75" customHeight="1">
      <c r="A14" s="31" t="s">
        <v>79</v>
      </c>
      <c r="B14" s="32" t="s">
        <v>101</v>
      </c>
      <c r="C14" s="32">
        <v>2.0</v>
      </c>
      <c r="D14" s="32">
        <v>14.0</v>
      </c>
      <c r="E14" s="32">
        <v>6.0</v>
      </c>
      <c r="F14" s="32">
        <v>2.0</v>
      </c>
      <c r="G14" s="32">
        <v>6.0</v>
      </c>
      <c r="H14" s="32">
        <v>6.0</v>
      </c>
      <c r="I14" s="32">
        <v>9.0</v>
      </c>
      <c r="J14" s="32">
        <v>6.0</v>
      </c>
      <c r="K14" s="32">
        <v>4.0</v>
      </c>
      <c r="L14" s="32">
        <v>4.0</v>
      </c>
      <c r="M14" s="32">
        <v>6.0</v>
      </c>
      <c r="N14" s="32">
        <v>7.0</v>
      </c>
      <c r="O14" s="32">
        <v>2.0</v>
      </c>
      <c r="P14" s="32">
        <v>3.0</v>
      </c>
      <c r="Q14" s="32">
        <v>1.0</v>
      </c>
      <c r="R14" s="33"/>
      <c r="S14" s="34">
        <v>50.0</v>
      </c>
      <c r="T14" s="13">
        <f t="shared" si="1"/>
        <v>5.2</v>
      </c>
      <c r="U14" s="13">
        <f t="shared" si="2"/>
        <v>4.666666667</v>
      </c>
      <c r="V14" s="35">
        <f t="shared" si="3"/>
        <v>23</v>
      </c>
      <c r="W14" s="13">
        <f t="shared" si="4"/>
        <v>2</v>
      </c>
      <c r="X14" s="14">
        <f t="shared" si="5"/>
        <v>6</v>
      </c>
      <c r="Y14" s="36">
        <v>62.0</v>
      </c>
      <c r="Z14" s="14">
        <f t="shared" si="6"/>
        <v>-56</v>
      </c>
      <c r="AA14" s="14">
        <f t="shared" si="7"/>
        <v>0</v>
      </c>
    </row>
    <row r="15" ht="23.25" customHeight="1">
      <c r="A15" s="31" t="s">
        <v>78</v>
      </c>
      <c r="B15" s="32" t="s">
        <v>99</v>
      </c>
      <c r="C15" s="32">
        <v>3.0</v>
      </c>
      <c r="D15" s="32">
        <v>25.0</v>
      </c>
      <c r="E15" s="32">
        <v>10.0</v>
      </c>
      <c r="F15" s="32">
        <v>10.0</v>
      </c>
      <c r="G15" s="32">
        <v>2.0</v>
      </c>
      <c r="H15" s="32">
        <v>16.0</v>
      </c>
      <c r="I15" s="32">
        <v>7.0</v>
      </c>
      <c r="J15" s="32">
        <v>10.0</v>
      </c>
      <c r="K15" s="32">
        <v>15.0</v>
      </c>
      <c r="L15" s="32">
        <v>3.0</v>
      </c>
      <c r="M15" s="32">
        <v>14.0</v>
      </c>
      <c r="N15" s="32">
        <v>8.0</v>
      </c>
      <c r="O15" s="32">
        <v>3.0</v>
      </c>
      <c r="P15" s="32">
        <v>23.0</v>
      </c>
      <c r="Q15" s="32">
        <v>3.0</v>
      </c>
      <c r="R15" s="33"/>
      <c r="S15" s="34">
        <v>5.0</v>
      </c>
      <c r="T15" s="13">
        <f t="shared" si="1"/>
        <v>10.13333333</v>
      </c>
      <c r="U15" s="13">
        <f t="shared" si="2"/>
        <v>9.5</v>
      </c>
      <c r="V15" s="35">
        <f t="shared" si="3"/>
        <v>54</v>
      </c>
      <c r="W15" s="13">
        <f t="shared" si="4"/>
        <v>9.666666667</v>
      </c>
      <c r="X15" s="14">
        <f t="shared" si="5"/>
        <v>29</v>
      </c>
      <c r="Y15" s="36">
        <v>42.0</v>
      </c>
      <c r="Z15" s="14">
        <f t="shared" si="6"/>
        <v>-13</v>
      </c>
      <c r="AA15" s="14">
        <f t="shared" si="7"/>
        <v>0</v>
      </c>
    </row>
    <row r="16" ht="15.75" customHeight="1">
      <c r="A16" s="31" t="s">
        <v>77</v>
      </c>
      <c r="B16" s="32" t="s">
        <v>101</v>
      </c>
      <c r="C16" s="32"/>
      <c r="D16" s="32">
        <v>2.0</v>
      </c>
      <c r="E16" s="32"/>
      <c r="F16" s="32">
        <v>2.0</v>
      </c>
      <c r="G16" s="32">
        <v>1.0</v>
      </c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3"/>
      <c r="S16" s="34">
        <v>20.0</v>
      </c>
      <c r="T16" s="13">
        <f t="shared" si="1"/>
        <v>0.3333333333</v>
      </c>
      <c r="U16" s="13">
        <f t="shared" si="2"/>
        <v>0.25</v>
      </c>
      <c r="V16" s="35">
        <f t="shared" si="3"/>
        <v>0</v>
      </c>
      <c r="W16" s="13">
        <f t="shared" si="4"/>
        <v>0</v>
      </c>
      <c r="X16" s="14">
        <f t="shared" si="5"/>
        <v>0</v>
      </c>
      <c r="Y16" s="36">
        <v>30.0</v>
      </c>
      <c r="Z16" s="14">
        <f t="shared" si="6"/>
        <v>-30</v>
      </c>
      <c r="AA16" s="14">
        <f t="shared" si="7"/>
        <v>0</v>
      </c>
    </row>
    <row r="17" ht="23.25" customHeight="1">
      <c r="A17" s="31" t="s">
        <v>76</v>
      </c>
      <c r="B17" s="32" t="s">
        <v>102</v>
      </c>
      <c r="C17" s="32"/>
      <c r="D17" s="32">
        <v>1.0</v>
      </c>
      <c r="E17" s="32">
        <v>5.0</v>
      </c>
      <c r="F17" s="32">
        <v>5.0</v>
      </c>
      <c r="G17" s="32"/>
      <c r="H17" s="32">
        <v>10.0</v>
      </c>
      <c r="I17" s="32"/>
      <c r="J17" s="32"/>
      <c r="K17" s="32">
        <v>3.0</v>
      </c>
      <c r="L17" s="32"/>
      <c r="M17" s="32">
        <v>1.0</v>
      </c>
      <c r="N17" s="32"/>
      <c r="O17" s="32"/>
      <c r="P17" s="32">
        <v>6.0</v>
      </c>
      <c r="Q17" s="32"/>
      <c r="R17" s="33"/>
      <c r="S17" s="34">
        <v>5.0</v>
      </c>
      <c r="T17" s="13">
        <f t="shared" si="1"/>
        <v>2.066666667</v>
      </c>
      <c r="U17" s="13">
        <f t="shared" si="2"/>
        <v>2.083333333</v>
      </c>
      <c r="V17" s="35">
        <f t="shared" si="3"/>
        <v>7</v>
      </c>
      <c r="W17" s="13">
        <f t="shared" si="4"/>
        <v>2</v>
      </c>
      <c r="X17" s="14">
        <f t="shared" si="5"/>
        <v>6</v>
      </c>
      <c r="Y17" s="36">
        <v>22.0</v>
      </c>
      <c r="Z17" s="14">
        <f t="shared" si="6"/>
        <v>-16</v>
      </c>
      <c r="AA17" s="14">
        <f t="shared" si="7"/>
        <v>0</v>
      </c>
    </row>
    <row r="18" ht="23.25" customHeight="1">
      <c r="A18" s="31" t="s">
        <v>40</v>
      </c>
      <c r="B18" s="32" t="s">
        <v>99</v>
      </c>
      <c r="C18" s="32">
        <v>5.0</v>
      </c>
      <c r="D18" s="32">
        <v>53.0</v>
      </c>
      <c r="E18" s="32">
        <v>25.0</v>
      </c>
      <c r="F18" s="32">
        <v>35.0</v>
      </c>
      <c r="G18" s="32">
        <v>20.0</v>
      </c>
      <c r="H18" s="32">
        <v>36.0</v>
      </c>
      <c r="I18" s="32">
        <v>12.0</v>
      </c>
      <c r="J18" s="32">
        <v>28.0</v>
      </c>
      <c r="K18" s="32">
        <v>29.0</v>
      </c>
      <c r="L18" s="32">
        <v>16.0</v>
      </c>
      <c r="M18" s="32">
        <v>22.0</v>
      </c>
      <c r="N18" s="32">
        <v>56.0</v>
      </c>
      <c r="O18" s="32">
        <v>44.0</v>
      </c>
      <c r="P18" s="32">
        <v>18.0</v>
      </c>
      <c r="Q18" s="32">
        <v>10.0</v>
      </c>
      <c r="R18" s="33"/>
      <c r="S18" s="34">
        <v>5.0</v>
      </c>
      <c r="T18" s="13">
        <f t="shared" si="1"/>
        <v>27.26666667</v>
      </c>
      <c r="U18" s="13">
        <f t="shared" si="2"/>
        <v>27.16666667</v>
      </c>
      <c r="V18" s="35">
        <f t="shared" si="3"/>
        <v>166</v>
      </c>
      <c r="W18" s="13">
        <f t="shared" si="4"/>
        <v>24</v>
      </c>
      <c r="X18" s="14">
        <f t="shared" si="5"/>
        <v>72</v>
      </c>
      <c r="Y18" s="36">
        <v>89.0</v>
      </c>
      <c r="Z18" s="14">
        <f t="shared" si="6"/>
        <v>-17</v>
      </c>
      <c r="AA18" s="14">
        <f t="shared" si="7"/>
        <v>0</v>
      </c>
    </row>
    <row r="19" ht="15.75" customHeight="1">
      <c r="A19" s="31" t="s">
        <v>75</v>
      </c>
      <c r="B19" s="32" t="s">
        <v>101</v>
      </c>
      <c r="C19" s="32"/>
      <c r="D19" s="32"/>
      <c r="E19" s="32">
        <v>1.0</v>
      </c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3"/>
      <c r="S19" s="34">
        <v>50.0</v>
      </c>
      <c r="T19" s="13">
        <f t="shared" si="1"/>
        <v>0.06666666667</v>
      </c>
      <c r="U19" s="13">
        <f t="shared" si="2"/>
        <v>0</v>
      </c>
      <c r="V19" s="35">
        <f t="shared" si="3"/>
        <v>0</v>
      </c>
      <c r="W19" s="13">
        <f t="shared" si="4"/>
        <v>0</v>
      </c>
      <c r="X19" s="14">
        <f t="shared" si="5"/>
        <v>0</v>
      </c>
      <c r="Y19" s="36">
        <v>64.0</v>
      </c>
      <c r="Z19" s="14">
        <f t="shared" si="6"/>
        <v>-64</v>
      </c>
      <c r="AA19" s="14">
        <f t="shared" si="7"/>
        <v>0</v>
      </c>
    </row>
    <row r="20" ht="15.75" customHeight="1">
      <c r="A20" s="31" t="s">
        <v>74</v>
      </c>
      <c r="B20" s="32" t="s">
        <v>101</v>
      </c>
      <c r="C20" s="32">
        <v>4.0</v>
      </c>
      <c r="D20" s="32">
        <v>19.0</v>
      </c>
      <c r="E20" s="32">
        <v>12.0</v>
      </c>
      <c r="F20" s="32">
        <v>9.0</v>
      </c>
      <c r="G20" s="32">
        <v>3.0</v>
      </c>
      <c r="H20" s="32">
        <v>13.0</v>
      </c>
      <c r="I20" s="32">
        <v>4.0</v>
      </c>
      <c r="J20" s="32">
        <v>9.0</v>
      </c>
      <c r="K20" s="32">
        <v>10.0</v>
      </c>
      <c r="L20" s="32">
        <v>3.0</v>
      </c>
      <c r="M20" s="32">
        <v>8.0</v>
      </c>
      <c r="N20" s="32">
        <v>10.0</v>
      </c>
      <c r="O20" s="32">
        <v>4.0</v>
      </c>
      <c r="P20" s="32">
        <v>4.0</v>
      </c>
      <c r="Q20" s="32">
        <v>3.0</v>
      </c>
      <c r="R20" s="33"/>
      <c r="S20" s="34">
        <v>20.0</v>
      </c>
      <c r="T20" s="13">
        <f t="shared" si="1"/>
        <v>7.666666667</v>
      </c>
      <c r="U20" s="13">
        <f t="shared" si="2"/>
        <v>6.666666667</v>
      </c>
      <c r="V20" s="35">
        <f t="shared" si="3"/>
        <v>32</v>
      </c>
      <c r="W20" s="13">
        <f t="shared" si="4"/>
        <v>3.666666667</v>
      </c>
      <c r="X20" s="14">
        <f t="shared" si="5"/>
        <v>11</v>
      </c>
      <c r="Y20" s="36">
        <v>46.0</v>
      </c>
      <c r="Z20" s="14">
        <f t="shared" si="6"/>
        <v>-35</v>
      </c>
      <c r="AA20" s="14">
        <f t="shared" si="7"/>
        <v>0</v>
      </c>
    </row>
    <row r="21" ht="15.75" customHeight="1">
      <c r="A21" s="31" t="s">
        <v>73</v>
      </c>
      <c r="B21" s="32" t="s">
        <v>99</v>
      </c>
      <c r="C21" s="32"/>
      <c r="D21" s="32">
        <v>2.0</v>
      </c>
      <c r="E21" s="32">
        <v>8.0</v>
      </c>
      <c r="F21" s="32">
        <v>1.0</v>
      </c>
      <c r="G21" s="32"/>
      <c r="H21" s="32">
        <v>1.0</v>
      </c>
      <c r="I21" s="32">
        <v>2.0</v>
      </c>
      <c r="J21" s="32"/>
      <c r="K21" s="32">
        <v>3.0</v>
      </c>
      <c r="L21" s="32">
        <v>1.0</v>
      </c>
      <c r="M21" s="32"/>
      <c r="N21" s="32"/>
      <c r="O21" s="32"/>
      <c r="P21" s="32">
        <v>4.0</v>
      </c>
      <c r="Q21" s="32"/>
      <c r="R21" s="33"/>
      <c r="S21" s="34">
        <v>5.0</v>
      </c>
      <c r="T21" s="13">
        <f t="shared" si="1"/>
        <v>1.466666667</v>
      </c>
      <c r="U21" s="13">
        <f t="shared" si="2"/>
        <v>1</v>
      </c>
      <c r="V21" s="35">
        <f t="shared" si="3"/>
        <v>5</v>
      </c>
      <c r="W21" s="13">
        <f t="shared" si="4"/>
        <v>1.333333333</v>
      </c>
      <c r="X21" s="14">
        <f t="shared" si="5"/>
        <v>4</v>
      </c>
      <c r="Y21" s="36">
        <v>30.0</v>
      </c>
      <c r="Z21" s="14">
        <f t="shared" si="6"/>
        <v>-26</v>
      </c>
      <c r="AA21" s="14">
        <f t="shared" si="7"/>
        <v>0</v>
      </c>
    </row>
    <row r="22" ht="23.25" customHeight="1">
      <c r="A22" s="31" t="s">
        <v>72</v>
      </c>
      <c r="B22" s="32" t="s">
        <v>99</v>
      </c>
      <c r="C22" s="32"/>
      <c r="D22" s="32">
        <v>4.0</v>
      </c>
      <c r="E22" s="32">
        <v>2.0</v>
      </c>
      <c r="F22" s="32">
        <v>5.0</v>
      </c>
      <c r="G22" s="32"/>
      <c r="H22" s="32">
        <v>1.0</v>
      </c>
      <c r="I22" s="32">
        <v>1.0</v>
      </c>
      <c r="J22" s="32">
        <v>2.0</v>
      </c>
      <c r="K22" s="32">
        <v>8.0</v>
      </c>
      <c r="L22" s="32">
        <v>1.0</v>
      </c>
      <c r="M22" s="32">
        <v>3.0</v>
      </c>
      <c r="N22" s="32">
        <v>1.0</v>
      </c>
      <c r="O22" s="32">
        <v>3.0</v>
      </c>
      <c r="P22" s="32">
        <v>1.0</v>
      </c>
      <c r="Q22" s="32"/>
      <c r="R22" s="33"/>
      <c r="S22" s="34">
        <v>5.0</v>
      </c>
      <c r="T22" s="13">
        <f t="shared" si="1"/>
        <v>2.133333333</v>
      </c>
      <c r="U22" s="13">
        <f t="shared" si="2"/>
        <v>2.166666667</v>
      </c>
      <c r="V22" s="35">
        <f t="shared" si="3"/>
        <v>9</v>
      </c>
      <c r="W22" s="13">
        <f t="shared" si="4"/>
        <v>1.333333333</v>
      </c>
      <c r="X22" s="14">
        <f t="shared" si="5"/>
        <v>4</v>
      </c>
      <c r="Y22" s="36">
        <v>30.0</v>
      </c>
      <c r="Z22" s="14">
        <f t="shared" si="6"/>
        <v>-26</v>
      </c>
      <c r="AA22" s="14">
        <f t="shared" si="7"/>
        <v>0</v>
      </c>
    </row>
    <row r="23" ht="15.75" customHeight="1">
      <c r="A23" s="31" t="s">
        <v>71</v>
      </c>
      <c r="B23" s="32" t="s">
        <v>101</v>
      </c>
      <c r="C23" s="32">
        <v>2.0</v>
      </c>
      <c r="D23" s="32">
        <v>22.0</v>
      </c>
      <c r="E23" s="32">
        <v>9.0</v>
      </c>
      <c r="F23" s="32">
        <v>8.0</v>
      </c>
      <c r="G23" s="32">
        <v>4.0</v>
      </c>
      <c r="H23" s="32">
        <v>8.0</v>
      </c>
      <c r="I23" s="32"/>
      <c r="J23" s="32">
        <v>5.0</v>
      </c>
      <c r="K23" s="32">
        <v>6.0</v>
      </c>
      <c r="L23" s="32">
        <v>3.0</v>
      </c>
      <c r="M23" s="32">
        <v>6.0</v>
      </c>
      <c r="N23" s="32">
        <v>3.0</v>
      </c>
      <c r="O23" s="32">
        <v>6.0</v>
      </c>
      <c r="P23" s="32">
        <v>6.0</v>
      </c>
      <c r="Q23" s="32">
        <v>3.0</v>
      </c>
      <c r="R23" s="33"/>
      <c r="S23" s="34">
        <v>20.0</v>
      </c>
      <c r="T23" s="13">
        <f t="shared" si="1"/>
        <v>6.066666667</v>
      </c>
      <c r="U23" s="13">
        <f t="shared" si="2"/>
        <v>4.833333333</v>
      </c>
      <c r="V23" s="35">
        <f t="shared" si="3"/>
        <v>27</v>
      </c>
      <c r="W23" s="13">
        <f t="shared" si="4"/>
        <v>5</v>
      </c>
      <c r="X23" s="14">
        <f t="shared" si="5"/>
        <v>15</v>
      </c>
      <c r="Y23" s="36">
        <v>59.0</v>
      </c>
      <c r="Z23" s="14">
        <f t="shared" si="6"/>
        <v>-44</v>
      </c>
      <c r="AA23" s="14">
        <f t="shared" si="7"/>
        <v>0</v>
      </c>
    </row>
    <row r="24" ht="15.75" customHeight="1">
      <c r="A24" s="31" t="s">
        <v>70</v>
      </c>
      <c r="B24" s="32" t="s">
        <v>99</v>
      </c>
      <c r="C24" s="32"/>
      <c r="D24" s="32">
        <v>2.0</v>
      </c>
      <c r="E24" s="32">
        <v>5.0</v>
      </c>
      <c r="F24" s="32">
        <v>1.0</v>
      </c>
      <c r="G24" s="32">
        <v>27.0</v>
      </c>
      <c r="H24" s="32">
        <v>1.0</v>
      </c>
      <c r="I24" s="32">
        <v>10.0</v>
      </c>
      <c r="J24" s="32"/>
      <c r="K24" s="32">
        <v>21.0</v>
      </c>
      <c r="L24" s="32"/>
      <c r="M24" s="32">
        <v>1.0</v>
      </c>
      <c r="N24" s="32"/>
      <c r="O24" s="32">
        <v>1.0</v>
      </c>
      <c r="P24" s="32"/>
      <c r="Q24" s="32"/>
      <c r="R24" s="33"/>
      <c r="S24" s="34">
        <v>5.0</v>
      </c>
      <c r="T24" s="13">
        <f t="shared" si="1"/>
        <v>4.6</v>
      </c>
      <c r="U24" s="13">
        <f t="shared" si="2"/>
        <v>5.166666667</v>
      </c>
      <c r="V24" s="35">
        <f t="shared" si="3"/>
        <v>2</v>
      </c>
      <c r="W24" s="13">
        <f t="shared" si="4"/>
        <v>0.3333333333</v>
      </c>
      <c r="X24" s="14">
        <f t="shared" si="5"/>
        <v>1</v>
      </c>
      <c r="Y24" s="36">
        <v>32.0</v>
      </c>
      <c r="Z24" s="14">
        <f t="shared" si="6"/>
        <v>-31</v>
      </c>
      <c r="AA24" s="14">
        <f t="shared" si="7"/>
        <v>0</v>
      </c>
    </row>
    <row r="25" ht="23.25" customHeight="1">
      <c r="A25" s="31" t="s">
        <v>69</v>
      </c>
      <c r="B25" s="32" t="s">
        <v>99</v>
      </c>
      <c r="C25" s="32">
        <v>6.0</v>
      </c>
      <c r="D25" s="32">
        <v>12.0</v>
      </c>
      <c r="E25" s="32">
        <v>14.0</v>
      </c>
      <c r="F25" s="32">
        <v>18.0</v>
      </c>
      <c r="G25" s="32">
        <v>11.0</v>
      </c>
      <c r="H25" s="32">
        <v>5.0</v>
      </c>
      <c r="I25" s="32">
        <v>3.0</v>
      </c>
      <c r="J25" s="32">
        <v>7.0</v>
      </c>
      <c r="K25" s="32">
        <v>12.0</v>
      </c>
      <c r="L25" s="32">
        <v>1.0</v>
      </c>
      <c r="M25" s="32">
        <v>10.0</v>
      </c>
      <c r="N25" s="32">
        <v>2.0</v>
      </c>
      <c r="O25" s="32">
        <v>9.0</v>
      </c>
      <c r="P25" s="32">
        <v>1.0</v>
      </c>
      <c r="Q25" s="32">
        <v>6.0</v>
      </c>
      <c r="R25" s="33"/>
      <c r="S25" s="34">
        <v>5.0</v>
      </c>
      <c r="T25" s="13">
        <f t="shared" si="1"/>
        <v>7.8</v>
      </c>
      <c r="U25" s="13">
        <f t="shared" si="2"/>
        <v>7.083333333</v>
      </c>
      <c r="V25" s="35">
        <f t="shared" si="3"/>
        <v>29</v>
      </c>
      <c r="W25" s="13">
        <f t="shared" si="4"/>
        <v>5.333333333</v>
      </c>
      <c r="X25" s="14">
        <f t="shared" si="5"/>
        <v>16</v>
      </c>
      <c r="Y25" s="36">
        <v>51.0</v>
      </c>
      <c r="Z25" s="14">
        <f t="shared" si="6"/>
        <v>-35</v>
      </c>
      <c r="AA25" s="14">
        <f t="shared" si="7"/>
        <v>0</v>
      </c>
    </row>
    <row r="26" ht="23.25" customHeight="1">
      <c r="A26" s="31" t="s">
        <v>68</v>
      </c>
      <c r="B26" s="32" t="s">
        <v>102</v>
      </c>
      <c r="C26" s="32"/>
      <c r="D26" s="32">
        <v>3.0</v>
      </c>
      <c r="E26" s="32"/>
      <c r="F26" s="32">
        <v>2.0</v>
      </c>
      <c r="G26" s="32">
        <v>1.0</v>
      </c>
      <c r="H26" s="32">
        <v>2.0</v>
      </c>
      <c r="I26" s="32">
        <v>4.0</v>
      </c>
      <c r="J26" s="32"/>
      <c r="K26" s="32">
        <v>4.0</v>
      </c>
      <c r="L26" s="32"/>
      <c r="M26" s="32"/>
      <c r="N26" s="32">
        <v>2.0</v>
      </c>
      <c r="O26" s="32">
        <v>1.0</v>
      </c>
      <c r="P26" s="32">
        <v>1.0</v>
      </c>
      <c r="Q26" s="32"/>
      <c r="R26" s="33"/>
      <c r="S26" s="34">
        <v>5.0</v>
      </c>
      <c r="T26" s="13">
        <f t="shared" si="1"/>
        <v>1.333333333</v>
      </c>
      <c r="U26" s="13">
        <f t="shared" si="2"/>
        <v>1.416666667</v>
      </c>
      <c r="V26" s="35">
        <f t="shared" si="3"/>
        <v>4</v>
      </c>
      <c r="W26" s="13">
        <f t="shared" si="4"/>
        <v>0.6666666667</v>
      </c>
      <c r="X26" s="14">
        <f t="shared" si="5"/>
        <v>2</v>
      </c>
      <c r="Y26" s="36">
        <v>37.0</v>
      </c>
      <c r="Z26" s="14">
        <f t="shared" si="6"/>
        <v>-35</v>
      </c>
      <c r="AA26" s="14">
        <f t="shared" si="7"/>
        <v>0</v>
      </c>
    </row>
    <row r="27" ht="15.75" customHeight="1">
      <c r="A27" s="31" t="s">
        <v>67</v>
      </c>
      <c r="B27" s="32" t="s">
        <v>99</v>
      </c>
      <c r="C27" s="32">
        <v>1.0</v>
      </c>
      <c r="D27" s="32">
        <v>13.0</v>
      </c>
      <c r="E27" s="32">
        <v>15.0</v>
      </c>
      <c r="F27" s="32">
        <v>6.0</v>
      </c>
      <c r="G27" s="32">
        <v>11.0</v>
      </c>
      <c r="H27" s="32">
        <v>13.0</v>
      </c>
      <c r="I27" s="32">
        <v>7.0</v>
      </c>
      <c r="J27" s="32">
        <v>14.0</v>
      </c>
      <c r="K27" s="32">
        <v>4.0</v>
      </c>
      <c r="L27" s="32">
        <v>6.0</v>
      </c>
      <c r="M27" s="32">
        <v>7.0</v>
      </c>
      <c r="N27" s="32">
        <v>2.0</v>
      </c>
      <c r="O27" s="32"/>
      <c r="P27" s="32">
        <v>14.0</v>
      </c>
      <c r="Q27" s="32">
        <v>2.0</v>
      </c>
      <c r="R27" s="33"/>
      <c r="S27" s="34">
        <v>5.0</v>
      </c>
      <c r="T27" s="13">
        <f t="shared" si="1"/>
        <v>7.666666667</v>
      </c>
      <c r="U27" s="13">
        <f t="shared" si="2"/>
        <v>7.166666667</v>
      </c>
      <c r="V27" s="35">
        <f t="shared" si="3"/>
        <v>31</v>
      </c>
      <c r="W27" s="13">
        <f t="shared" si="4"/>
        <v>5.333333333</v>
      </c>
      <c r="X27" s="14">
        <f t="shared" si="5"/>
        <v>16</v>
      </c>
      <c r="Y27" s="36">
        <v>52.0</v>
      </c>
      <c r="Z27" s="14">
        <f t="shared" si="6"/>
        <v>-36</v>
      </c>
      <c r="AA27" s="14">
        <f t="shared" si="7"/>
        <v>0</v>
      </c>
    </row>
    <row r="28" ht="15.75" customHeight="1">
      <c r="A28" s="31" t="s">
        <v>66</v>
      </c>
      <c r="B28" s="32" t="s">
        <v>101</v>
      </c>
      <c r="C28" s="32"/>
      <c r="D28" s="32">
        <v>5.0</v>
      </c>
      <c r="E28" s="32"/>
      <c r="F28" s="32">
        <v>3.0</v>
      </c>
      <c r="G28" s="32"/>
      <c r="H28" s="32"/>
      <c r="I28" s="32"/>
      <c r="J28" s="32"/>
      <c r="K28" s="32">
        <v>1.0</v>
      </c>
      <c r="L28" s="32"/>
      <c r="M28" s="32">
        <v>1.0</v>
      </c>
      <c r="N28" s="32"/>
      <c r="O28" s="32">
        <v>1.0</v>
      </c>
      <c r="P28" s="32"/>
      <c r="Q28" s="32"/>
      <c r="R28" s="33"/>
      <c r="S28" s="34">
        <v>20.0</v>
      </c>
      <c r="T28" s="13">
        <f t="shared" si="1"/>
        <v>0.7333333333</v>
      </c>
      <c r="U28" s="13">
        <f t="shared" si="2"/>
        <v>0.5</v>
      </c>
      <c r="V28" s="35">
        <f t="shared" si="3"/>
        <v>2</v>
      </c>
      <c r="W28" s="13">
        <f t="shared" si="4"/>
        <v>0.3333333333</v>
      </c>
      <c r="X28" s="14">
        <f t="shared" si="5"/>
        <v>1</v>
      </c>
      <c r="Y28" s="36">
        <v>53.0</v>
      </c>
      <c r="Z28" s="14">
        <f t="shared" si="6"/>
        <v>-52</v>
      </c>
      <c r="AA28" s="14">
        <f t="shared" si="7"/>
        <v>0</v>
      </c>
    </row>
    <row r="29" ht="23.25" customHeight="1">
      <c r="A29" s="31" t="s">
        <v>65</v>
      </c>
      <c r="B29" s="32" t="s">
        <v>102</v>
      </c>
      <c r="C29" s="32"/>
      <c r="D29" s="32">
        <v>1.0</v>
      </c>
      <c r="E29" s="32"/>
      <c r="F29" s="32"/>
      <c r="G29" s="32"/>
      <c r="H29" s="32">
        <v>2.0</v>
      </c>
      <c r="I29" s="32">
        <v>4.0</v>
      </c>
      <c r="J29" s="32"/>
      <c r="K29" s="32">
        <v>6.0</v>
      </c>
      <c r="L29" s="32">
        <v>1.0</v>
      </c>
      <c r="M29" s="32"/>
      <c r="N29" s="32"/>
      <c r="O29" s="32"/>
      <c r="P29" s="32">
        <v>3.0</v>
      </c>
      <c r="Q29" s="32"/>
      <c r="R29" s="33"/>
      <c r="S29" s="34">
        <v>5.0</v>
      </c>
      <c r="T29" s="13">
        <f t="shared" si="1"/>
        <v>1.133333333</v>
      </c>
      <c r="U29" s="13">
        <f t="shared" si="2"/>
        <v>1.333333333</v>
      </c>
      <c r="V29" s="35">
        <f t="shared" si="3"/>
        <v>4</v>
      </c>
      <c r="W29" s="13">
        <f t="shared" si="4"/>
        <v>1</v>
      </c>
      <c r="X29" s="14">
        <f t="shared" si="5"/>
        <v>3</v>
      </c>
      <c r="Y29" s="36">
        <v>40.0</v>
      </c>
      <c r="Z29" s="14">
        <f t="shared" si="6"/>
        <v>-37</v>
      </c>
      <c r="AA29" s="14">
        <f t="shared" si="7"/>
        <v>0</v>
      </c>
    </row>
    <row r="30" ht="23.25" customHeight="1">
      <c r="A30" s="31" t="s">
        <v>64</v>
      </c>
      <c r="B30" s="32" t="s">
        <v>99</v>
      </c>
      <c r="C30" s="32">
        <v>5.0</v>
      </c>
      <c r="D30" s="32">
        <v>2.0</v>
      </c>
      <c r="E30" s="32">
        <v>9.0</v>
      </c>
      <c r="F30" s="32">
        <v>7.0</v>
      </c>
      <c r="G30" s="32"/>
      <c r="H30" s="32">
        <v>2.0</v>
      </c>
      <c r="I30" s="32">
        <v>3.0</v>
      </c>
      <c r="J30" s="32">
        <v>1.0</v>
      </c>
      <c r="K30" s="32">
        <v>3.0</v>
      </c>
      <c r="L30" s="32"/>
      <c r="M30" s="32">
        <v>2.0</v>
      </c>
      <c r="N30" s="32">
        <v>2.0</v>
      </c>
      <c r="O30" s="32"/>
      <c r="P30" s="32">
        <v>2.0</v>
      </c>
      <c r="Q30" s="32">
        <v>1.0</v>
      </c>
      <c r="R30" s="33"/>
      <c r="S30" s="34">
        <v>5.0</v>
      </c>
      <c r="T30" s="13">
        <f t="shared" si="1"/>
        <v>2.6</v>
      </c>
      <c r="U30" s="13">
        <f t="shared" si="2"/>
        <v>1.916666667</v>
      </c>
      <c r="V30" s="35">
        <f t="shared" si="3"/>
        <v>7</v>
      </c>
      <c r="W30" s="13">
        <f t="shared" si="4"/>
        <v>1</v>
      </c>
      <c r="X30" s="14">
        <f t="shared" si="5"/>
        <v>3</v>
      </c>
      <c r="Y30" s="36">
        <v>41.0</v>
      </c>
      <c r="Z30" s="14">
        <f t="shared" si="6"/>
        <v>-38</v>
      </c>
      <c r="AA30" s="14">
        <f t="shared" si="7"/>
        <v>0</v>
      </c>
    </row>
    <row r="31" ht="23.25" customHeight="1">
      <c r="A31" s="31" t="s">
        <v>63</v>
      </c>
      <c r="B31" s="32" t="s">
        <v>102</v>
      </c>
      <c r="C31" s="32"/>
      <c r="D31" s="32">
        <v>1.0</v>
      </c>
      <c r="E31" s="32"/>
      <c r="F31" s="32"/>
      <c r="G31" s="32"/>
      <c r="H31" s="32">
        <v>3.0</v>
      </c>
      <c r="I31" s="32">
        <v>7.0</v>
      </c>
      <c r="J31" s="32"/>
      <c r="K31" s="32">
        <v>1.0</v>
      </c>
      <c r="L31" s="32">
        <v>2.0</v>
      </c>
      <c r="M31" s="32"/>
      <c r="N31" s="32">
        <v>1.0</v>
      </c>
      <c r="O31" s="32"/>
      <c r="P31" s="32">
        <v>1.0</v>
      </c>
      <c r="Q31" s="32"/>
      <c r="R31" s="33"/>
      <c r="S31" s="34">
        <v>5.0</v>
      </c>
      <c r="T31" s="13">
        <f t="shared" si="1"/>
        <v>1.066666667</v>
      </c>
      <c r="U31" s="13">
        <f t="shared" si="2"/>
        <v>1.25</v>
      </c>
      <c r="V31" s="35">
        <f t="shared" si="3"/>
        <v>4</v>
      </c>
      <c r="W31" s="13">
        <f t="shared" si="4"/>
        <v>0.3333333333</v>
      </c>
      <c r="X31" s="14">
        <f t="shared" si="5"/>
        <v>1</v>
      </c>
      <c r="Y31" s="36">
        <v>39.0</v>
      </c>
      <c r="Z31" s="14">
        <f t="shared" si="6"/>
        <v>-38</v>
      </c>
      <c r="AA31" s="14">
        <f t="shared" si="7"/>
        <v>0</v>
      </c>
    </row>
    <row r="32" ht="15.75" customHeight="1">
      <c r="A32" s="31" t="s">
        <v>62</v>
      </c>
      <c r="B32" s="32" t="s">
        <v>99</v>
      </c>
      <c r="C32" s="32">
        <v>2.0</v>
      </c>
      <c r="D32" s="32">
        <v>10.0</v>
      </c>
      <c r="E32" s="32">
        <v>12.0</v>
      </c>
      <c r="F32" s="32">
        <v>3.0</v>
      </c>
      <c r="G32" s="32">
        <v>1.0</v>
      </c>
      <c r="H32" s="32">
        <v>10.0</v>
      </c>
      <c r="I32" s="32">
        <v>4.0</v>
      </c>
      <c r="J32" s="32">
        <v>7.0</v>
      </c>
      <c r="K32" s="32">
        <v>9.0</v>
      </c>
      <c r="L32" s="32">
        <v>10.0</v>
      </c>
      <c r="M32" s="32">
        <v>4.0</v>
      </c>
      <c r="N32" s="32">
        <v>2.0</v>
      </c>
      <c r="O32" s="32">
        <v>13.0</v>
      </c>
      <c r="P32" s="32">
        <v>2.0</v>
      </c>
      <c r="Q32" s="32">
        <v>6.0</v>
      </c>
      <c r="R32" s="33"/>
      <c r="S32" s="34">
        <v>5.0</v>
      </c>
      <c r="T32" s="13">
        <f t="shared" si="1"/>
        <v>6.333333333</v>
      </c>
      <c r="U32" s="13">
        <f t="shared" si="2"/>
        <v>5.916666667</v>
      </c>
      <c r="V32" s="35">
        <f t="shared" si="3"/>
        <v>37</v>
      </c>
      <c r="W32" s="13">
        <f t="shared" si="4"/>
        <v>7</v>
      </c>
      <c r="X32" s="14">
        <f t="shared" si="5"/>
        <v>21</v>
      </c>
      <c r="Y32" s="36">
        <v>60.0</v>
      </c>
      <c r="Z32" s="14">
        <f t="shared" si="6"/>
        <v>-39</v>
      </c>
      <c r="AA32" s="14">
        <f t="shared" si="7"/>
        <v>0</v>
      </c>
    </row>
    <row r="33" ht="15.75" customHeight="1">
      <c r="A33" s="31" t="s">
        <v>61</v>
      </c>
      <c r="B33" s="32" t="s">
        <v>99</v>
      </c>
      <c r="C33" s="32">
        <v>2.0</v>
      </c>
      <c r="D33" s="32">
        <v>10.0</v>
      </c>
      <c r="E33" s="32">
        <v>7.0</v>
      </c>
      <c r="F33" s="32">
        <v>9.0</v>
      </c>
      <c r="G33" s="32">
        <v>5.0</v>
      </c>
      <c r="H33" s="32">
        <v>5.0</v>
      </c>
      <c r="I33" s="32">
        <v>3.0</v>
      </c>
      <c r="J33" s="32">
        <v>9.0</v>
      </c>
      <c r="K33" s="32">
        <v>55.0</v>
      </c>
      <c r="L33" s="32">
        <v>4.0</v>
      </c>
      <c r="M33" s="32">
        <v>3.0</v>
      </c>
      <c r="N33" s="32">
        <v>2.0</v>
      </c>
      <c r="O33" s="32">
        <v>3.0</v>
      </c>
      <c r="P33" s="32">
        <v>4.0</v>
      </c>
      <c r="Q33" s="32">
        <v>5.0</v>
      </c>
      <c r="R33" s="33"/>
      <c r="S33" s="34">
        <v>5.0</v>
      </c>
      <c r="T33" s="13">
        <f t="shared" si="1"/>
        <v>8.4</v>
      </c>
      <c r="U33" s="13">
        <f t="shared" si="2"/>
        <v>8.916666667</v>
      </c>
      <c r="V33" s="35">
        <f t="shared" si="3"/>
        <v>21</v>
      </c>
      <c r="W33" s="13">
        <f t="shared" si="4"/>
        <v>4</v>
      </c>
      <c r="X33" s="14">
        <f t="shared" si="5"/>
        <v>12</v>
      </c>
      <c r="Y33" s="36">
        <v>55.0</v>
      </c>
      <c r="Z33" s="14">
        <f t="shared" si="6"/>
        <v>-43</v>
      </c>
      <c r="AA33" s="14">
        <f t="shared" si="7"/>
        <v>0</v>
      </c>
    </row>
    <row r="34" ht="15.75" customHeight="1">
      <c r="A34" s="31" t="s">
        <v>60</v>
      </c>
      <c r="B34" s="32" t="s">
        <v>101</v>
      </c>
      <c r="C34" s="32"/>
      <c r="D34" s="32">
        <v>2.0</v>
      </c>
      <c r="E34" s="32">
        <v>1.0</v>
      </c>
      <c r="F34" s="32">
        <v>1.0</v>
      </c>
      <c r="G34" s="32">
        <v>2.0</v>
      </c>
      <c r="H34" s="32">
        <v>1.0</v>
      </c>
      <c r="I34" s="32"/>
      <c r="J34" s="32"/>
      <c r="K34" s="32"/>
      <c r="L34" s="32"/>
      <c r="M34" s="32"/>
      <c r="N34" s="32"/>
      <c r="O34" s="32"/>
      <c r="P34" s="32"/>
      <c r="Q34" s="32"/>
      <c r="R34" s="33"/>
      <c r="S34" s="34">
        <v>20.0</v>
      </c>
      <c r="T34" s="13">
        <f t="shared" si="1"/>
        <v>0.4666666667</v>
      </c>
      <c r="U34" s="13">
        <f t="shared" si="2"/>
        <v>0.3333333333</v>
      </c>
      <c r="V34" s="35">
        <f t="shared" si="3"/>
        <v>0</v>
      </c>
      <c r="W34" s="13">
        <f t="shared" si="4"/>
        <v>0</v>
      </c>
      <c r="X34" s="14">
        <f t="shared" si="5"/>
        <v>0</v>
      </c>
      <c r="Y34" s="36">
        <v>61.0</v>
      </c>
      <c r="Z34" s="14">
        <f t="shared" si="6"/>
        <v>-61</v>
      </c>
      <c r="AA34" s="14">
        <f t="shared" si="7"/>
        <v>0</v>
      </c>
    </row>
    <row r="35" ht="23.25" customHeight="1">
      <c r="A35" s="31" t="s">
        <v>59</v>
      </c>
      <c r="B35" s="32" t="s">
        <v>102</v>
      </c>
      <c r="C35" s="32"/>
      <c r="D35" s="32">
        <v>1.0</v>
      </c>
      <c r="E35" s="32"/>
      <c r="F35" s="32"/>
      <c r="G35" s="32"/>
      <c r="H35" s="32">
        <v>4.0</v>
      </c>
      <c r="I35" s="32">
        <v>1.0</v>
      </c>
      <c r="J35" s="32"/>
      <c r="K35" s="32">
        <v>3.0</v>
      </c>
      <c r="L35" s="32">
        <v>1.0</v>
      </c>
      <c r="M35" s="32"/>
      <c r="N35" s="32">
        <v>1.0</v>
      </c>
      <c r="O35" s="32"/>
      <c r="P35" s="32"/>
      <c r="Q35" s="32"/>
      <c r="R35" s="33"/>
      <c r="S35" s="34">
        <v>5.0</v>
      </c>
      <c r="T35" s="13">
        <f t="shared" si="1"/>
        <v>0.7333333333</v>
      </c>
      <c r="U35" s="13">
        <f t="shared" si="2"/>
        <v>0.8333333333</v>
      </c>
      <c r="V35" s="35">
        <f t="shared" si="3"/>
        <v>2</v>
      </c>
      <c r="W35" s="13">
        <f t="shared" si="4"/>
        <v>0</v>
      </c>
      <c r="X35" s="14">
        <f t="shared" si="5"/>
        <v>0</v>
      </c>
      <c r="Y35" s="36">
        <v>46.0</v>
      </c>
      <c r="Z35" s="14">
        <f t="shared" si="6"/>
        <v>-46</v>
      </c>
      <c r="AA35" s="14">
        <f t="shared" si="7"/>
        <v>0</v>
      </c>
    </row>
    <row r="36" ht="15.75" customHeight="1">
      <c r="A36" s="31" t="s">
        <v>58</v>
      </c>
      <c r="B36" s="32" t="s">
        <v>101</v>
      </c>
      <c r="C36" s="32">
        <v>2.0</v>
      </c>
      <c r="D36" s="32">
        <v>14.0</v>
      </c>
      <c r="E36" s="32">
        <v>8.0</v>
      </c>
      <c r="F36" s="32">
        <v>2.0</v>
      </c>
      <c r="G36" s="32">
        <v>6.0</v>
      </c>
      <c r="H36" s="32">
        <v>6.0</v>
      </c>
      <c r="I36" s="32">
        <v>9.0</v>
      </c>
      <c r="J36" s="32">
        <v>6.0</v>
      </c>
      <c r="K36" s="32">
        <v>4.0</v>
      </c>
      <c r="L36" s="32">
        <v>4.0</v>
      </c>
      <c r="M36" s="32">
        <v>6.0</v>
      </c>
      <c r="N36" s="32">
        <v>7.0</v>
      </c>
      <c r="O36" s="32">
        <v>2.0</v>
      </c>
      <c r="P36" s="32">
        <v>3.0</v>
      </c>
      <c r="Q36" s="32">
        <v>1.0</v>
      </c>
      <c r="R36" s="33"/>
      <c r="S36" s="34">
        <v>20.0</v>
      </c>
      <c r="T36" s="13">
        <f t="shared" si="1"/>
        <v>5.333333333</v>
      </c>
      <c r="U36" s="13">
        <f t="shared" si="2"/>
        <v>4.666666667</v>
      </c>
      <c r="V36" s="35">
        <f t="shared" si="3"/>
        <v>23</v>
      </c>
      <c r="W36" s="13">
        <f t="shared" si="4"/>
        <v>2</v>
      </c>
      <c r="X36" s="14">
        <f t="shared" si="5"/>
        <v>6</v>
      </c>
      <c r="Y36" s="36">
        <v>68.0</v>
      </c>
      <c r="Z36" s="14">
        <f t="shared" si="6"/>
        <v>-62</v>
      </c>
      <c r="AA36" s="14">
        <f t="shared" si="7"/>
        <v>0</v>
      </c>
    </row>
    <row r="37" ht="15.75" customHeight="1">
      <c r="A37" s="31" t="s">
        <v>57</v>
      </c>
      <c r="B37" s="32" t="s">
        <v>99</v>
      </c>
      <c r="C37" s="32">
        <v>1.0</v>
      </c>
      <c r="D37" s="32">
        <v>1.0</v>
      </c>
      <c r="E37" s="32">
        <v>7.0</v>
      </c>
      <c r="F37" s="32">
        <v>2.0</v>
      </c>
      <c r="G37" s="32"/>
      <c r="H37" s="32"/>
      <c r="I37" s="32">
        <v>2.0</v>
      </c>
      <c r="J37" s="32"/>
      <c r="K37" s="32">
        <v>5.0</v>
      </c>
      <c r="L37" s="32"/>
      <c r="M37" s="32">
        <v>2.0</v>
      </c>
      <c r="N37" s="32">
        <v>1.0</v>
      </c>
      <c r="O37" s="32">
        <v>1.0</v>
      </c>
      <c r="P37" s="32">
        <v>3.0</v>
      </c>
      <c r="Q37" s="32"/>
      <c r="R37" s="33"/>
      <c r="S37" s="34">
        <v>5.0</v>
      </c>
      <c r="T37" s="13">
        <f t="shared" si="1"/>
        <v>1.666666667</v>
      </c>
      <c r="U37" s="13">
        <f t="shared" si="2"/>
        <v>1.333333333</v>
      </c>
      <c r="V37" s="35">
        <f t="shared" si="3"/>
        <v>7</v>
      </c>
      <c r="W37" s="13">
        <f t="shared" si="4"/>
        <v>1.333333333</v>
      </c>
      <c r="X37" s="14">
        <f t="shared" si="5"/>
        <v>4</v>
      </c>
      <c r="Y37" s="36">
        <v>52.0</v>
      </c>
      <c r="Z37" s="14">
        <f t="shared" si="6"/>
        <v>-48</v>
      </c>
      <c r="AA37" s="14">
        <f t="shared" si="7"/>
        <v>0</v>
      </c>
    </row>
    <row r="38" ht="23.25" customHeight="1">
      <c r="A38" s="31" t="s">
        <v>56</v>
      </c>
      <c r="B38" s="32" t="s">
        <v>99</v>
      </c>
      <c r="C38" s="32"/>
      <c r="D38" s="32">
        <v>5.0</v>
      </c>
      <c r="E38" s="32">
        <v>11.0</v>
      </c>
      <c r="F38" s="32">
        <v>5.0</v>
      </c>
      <c r="G38" s="32">
        <v>5.0</v>
      </c>
      <c r="H38" s="32">
        <v>3.0</v>
      </c>
      <c r="I38" s="32">
        <v>4.0</v>
      </c>
      <c r="J38" s="32">
        <v>2.0</v>
      </c>
      <c r="K38" s="32">
        <v>3.0</v>
      </c>
      <c r="L38" s="32">
        <v>2.0</v>
      </c>
      <c r="M38" s="32"/>
      <c r="N38" s="32">
        <v>3.0</v>
      </c>
      <c r="O38" s="32">
        <v>2.0</v>
      </c>
      <c r="P38" s="32">
        <v>2.0</v>
      </c>
      <c r="Q38" s="32"/>
      <c r="R38" s="33"/>
      <c r="S38" s="34">
        <v>5.0</v>
      </c>
      <c r="T38" s="13">
        <f t="shared" si="1"/>
        <v>3.133333333</v>
      </c>
      <c r="U38" s="13">
        <f t="shared" si="2"/>
        <v>2.583333333</v>
      </c>
      <c r="V38" s="35">
        <f t="shared" si="3"/>
        <v>9</v>
      </c>
      <c r="W38" s="13">
        <f t="shared" si="4"/>
        <v>1.333333333</v>
      </c>
      <c r="X38" s="14">
        <f t="shared" si="5"/>
        <v>4</v>
      </c>
      <c r="Y38" s="36">
        <v>53.0</v>
      </c>
      <c r="Z38" s="14">
        <f t="shared" si="6"/>
        <v>-49</v>
      </c>
      <c r="AA38" s="14">
        <f t="shared" si="7"/>
        <v>0</v>
      </c>
    </row>
    <row r="39" ht="15.75" customHeight="1">
      <c r="A39" s="31" t="s">
        <v>55</v>
      </c>
      <c r="B39" s="32" t="s">
        <v>99</v>
      </c>
      <c r="C39" s="32">
        <v>2.0</v>
      </c>
      <c r="D39" s="32">
        <v>3.0</v>
      </c>
      <c r="E39" s="32">
        <v>9.0</v>
      </c>
      <c r="F39" s="32">
        <v>1.0</v>
      </c>
      <c r="G39" s="32">
        <v>1.0</v>
      </c>
      <c r="H39" s="32">
        <v>1.0</v>
      </c>
      <c r="I39" s="32">
        <v>1.0</v>
      </c>
      <c r="J39" s="32"/>
      <c r="K39" s="32">
        <v>37.0</v>
      </c>
      <c r="L39" s="32"/>
      <c r="M39" s="32">
        <v>3.0</v>
      </c>
      <c r="N39" s="32">
        <v>1.0</v>
      </c>
      <c r="O39" s="32">
        <v>2.0</v>
      </c>
      <c r="P39" s="32">
        <v>1.0</v>
      </c>
      <c r="Q39" s="32">
        <v>1.0</v>
      </c>
      <c r="R39" s="33"/>
      <c r="S39" s="34">
        <v>5.0</v>
      </c>
      <c r="T39" s="13">
        <f t="shared" si="1"/>
        <v>4.2</v>
      </c>
      <c r="U39" s="13">
        <f t="shared" si="2"/>
        <v>4.083333333</v>
      </c>
      <c r="V39" s="35">
        <f t="shared" si="3"/>
        <v>8</v>
      </c>
      <c r="W39" s="13">
        <f t="shared" si="4"/>
        <v>1.333333333</v>
      </c>
      <c r="X39" s="14">
        <f t="shared" si="5"/>
        <v>4</v>
      </c>
      <c r="Y39" s="36">
        <v>54.0</v>
      </c>
      <c r="Z39" s="14">
        <f t="shared" si="6"/>
        <v>-50</v>
      </c>
      <c r="AA39" s="14">
        <f t="shared" si="7"/>
        <v>0</v>
      </c>
    </row>
    <row r="40" ht="23.25" customHeight="1">
      <c r="A40" s="31" t="s">
        <v>54</v>
      </c>
      <c r="B40" s="32" t="s">
        <v>99</v>
      </c>
      <c r="C40" s="32">
        <v>3.0</v>
      </c>
      <c r="D40" s="32">
        <v>5.0</v>
      </c>
      <c r="E40" s="32">
        <v>11.0</v>
      </c>
      <c r="F40" s="32">
        <v>6.0</v>
      </c>
      <c r="G40" s="32">
        <v>2.0</v>
      </c>
      <c r="H40" s="32">
        <v>3.0</v>
      </c>
      <c r="I40" s="32">
        <v>1.0</v>
      </c>
      <c r="J40" s="32"/>
      <c r="K40" s="32"/>
      <c r="L40" s="32">
        <v>2.0</v>
      </c>
      <c r="M40" s="32">
        <v>2.0</v>
      </c>
      <c r="N40" s="32">
        <v>3.0</v>
      </c>
      <c r="O40" s="32">
        <v>2.0</v>
      </c>
      <c r="P40" s="32">
        <v>7.0</v>
      </c>
      <c r="Q40" s="32">
        <v>5.0</v>
      </c>
      <c r="R40" s="33"/>
      <c r="S40" s="34">
        <v>5.0</v>
      </c>
      <c r="T40" s="13">
        <f t="shared" si="1"/>
        <v>3.466666667</v>
      </c>
      <c r="U40" s="13">
        <f t="shared" si="2"/>
        <v>2.75</v>
      </c>
      <c r="V40" s="35">
        <f t="shared" si="3"/>
        <v>21</v>
      </c>
      <c r="W40" s="13">
        <f t="shared" si="4"/>
        <v>4.666666667</v>
      </c>
      <c r="X40" s="14">
        <f t="shared" si="5"/>
        <v>14</v>
      </c>
      <c r="Y40" s="36">
        <v>65.0</v>
      </c>
      <c r="Z40" s="14">
        <f t="shared" si="6"/>
        <v>-51</v>
      </c>
      <c r="AA40" s="14">
        <f t="shared" si="7"/>
        <v>0</v>
      </c>
    </row>
    <row r="41" ht="15.75" customHeight="1">
      <c r="A41" s="31" t="s">
        <v>53</v>
      </c>
      <c r="B41" s="32" t="s">
        <v>99</v>
      </c>
      <c r="C41" s="32">
        <v>3.0</v>
      </c>
      <c r="D41" s="32">
        <v>5.0</v>
      </c>
      <c r="E41" s="32">
        <v>12.0</v>
      </c>
      <c r="F41" s="32">
        <v>3.0</v>
      </c>
      <c r="G41" s="32"/>
      <c r="H41" s="32">
        <v>3.0</v>
      </c>
      <c r="I41" s="32"/>
      <c r="J41" s="32"/>
      <c r="K41" s="32">
        <v>2.0</v>
      </c>
      <c r="L41" s="32">
        <v>3.0</v>
      </c>
      <c r="M41" s="32"/>
      <c r="N41" s="32">
        <v>1.0</v>
      </c>
      <c r="O41" s="32">
        <v>4.0</v>
      </c>
      <c r="P41" s="32">
        <v>2.0</v>
      </c>
      <c r="Q41" s="32"/>
      <c r="R41" s="33"/>
      <c r="S41" s="34">
        <v>5.0</v>
      </c>
      <c r="T41" s="13">
        <f t="shared" si="1"/>
        <v>2.533333333</v>
      </c>
      <c r="U41" s="13">
        <f t="shared" si="2"/>
        <v>1.5</v>
      </c>
      <c r="V41" s="35">
        <f t="shared" si="3"/>
        <v>10</v>
      </c>
      <c r="W41" s="13">
        <f t="shared" si="4"/>
        <v>2</v>
      </c>
      <c r="X41" s="14">
        <f t="shared" si="5"/>
        <v>6</v>
      </c>
      <c r="Y41" s="36">
        <v>67.0</v>
      </c>
      <c r="Z41" s="14">
        <f t="shared" si="6"/>
        <v>-61</v>
      </c>
      <c r="AA41" s="14">
        <f t="shared" si="7"/>
        <v>0</v>
      </c>
    </row>
    <row r="42" ht="15.75" customHeight="1">
      <c r="A42" s="31" t="s">
        <v>52</v>
      </c>
      <c r="B42" s="32" t="s">
        <v>101</v>
      </c>
      <c r="C42" s="32">
        <v>2.0</v>
      </c>
      <c r="D42" s="32">
        <v>5.0</v>
      </c>
      <c r="E42" s="32">
        <v>4.0</v>
      </c>
      <c r="F42" s="32">
        <v>5.0</v>
      </c>
      <c r="G42" s="32">
        <v>2.0</v>
      </c>
      <c r="H42" s="32">
        <v>3.0</v>
      </c>
      <c r="I42" s="32"/>
      <c r="J42" s="32"/>
      <c r="K42" s="32">
        <v>2.0</v>
      </c>
      <c r="L42" s="32">
        <v>1.0</v>
      </c>
      <c r="M42" s="32">
        <v>1.0</v>
      </c>
      <c r="N42" s="32"/>
      <c r="O42" s="32">
        <v>1.0</v>
      </c>
      <c r="P42" s="32">
        <v>2.0</v>
      </c>
      <c r="Q42" s="32">
        <v>1.0</v>
      </c>
      <c r="R42" s="33"/>
      <c r="S42" s="34">
        <v>20.0</v>
      </c>
      <c r="T42" s="13">
        <f t="shared" si="1"/>
        <v>1.933333333</v>
      </c>
      <c r="U42" s="13">
        <f t="shared" si="2"/>
        <v>1.5</v>
      </c>
      <c r="V42" s="35">
        <f t="shared" si="3"/>
        <v>6</v>
      </c>
      <c r="W42" s="13">
        <f t="shared" si="4"/>
        <v>1.333333333</v>
      </c>
      <c r="X42" s="14">
        <f t="shared" si="5"/>
        <v>4</v>
      </c>
      <c r="Y42" s="36">
        <v>83.0</v>
      </c>
      <c r="Z42" s="14">
        <f t="shared" si="6"/>
        <v>-79</v>
      </c>
      <c r="AA42" s="14">
        <f t="shared" si="7"/>
        <v>0</v>
      </c>
    </row>
    <row r="43" ht="15.75" customHeight="1">
      <c r="A43" s="31" t="s">
        <v>51</v>
      </c>
      <c r="B43" s="32" t="s">
        <v>99</v>
      </c>
      <c r="C43" s="32">
        <v>4.0</v>
      </c>
      <c r="D43" s="32">
        <v>28.0</v>
      </c>
      <c r="E43" s="32">
        <v>19.0</v>
      </c>
      <c r="F43" s="32">
        <v>20.0</v>
      </c>
      <c r="G43" s="32">
        <v>17.0</v>
      </c>
      <c r="H43" s="32">
        <v>30.0</v>
      </c>
      <c r="I43" s="32">
        <v>21.0</v>
      </c>
      <c r="J43" s="32">
        <v>18.0</v>
      </c>
      <c r="K43" s="32">
        <v>61.0</v>
      </c>
      <c r="L43" s="32">
        <v>9.0</v>
      </c>
      <c r="M43" s="32">
        <v>29.0</v>
      </c>
      <c r="N43" s="32">
        <v>13.0</v>
      </c>
      <c r="O43" s="32">
        <v>17.0</v>
      </c>
      <c r="P43" s="32">
        <v>26.0</v>
      </c>
      <c r="Q43" s="32">
        <v>20.0</v>
      </c>
      <c r="R43" s="33"/>
      <c r="S43" s="34">
        <v>5.0</v>
      </c>
      <c r="T43" s="13">
        <f t="shared" si="1"/>
        <v>22.13333333</v>
      </c>
      <c r="U43" s="13">
        <f t="shared" si="2"/>
        <v>23.41666667</v>
      </c>
      <c r="V43" s="35">
        <f t="shared" si="3"/>
        <v>114</v>
      </c>
      <c r="W43" s="13">
        <f t="shared" si="4"/>
        <v>21</v>
      </c>
      <c r="X43" s="14">
        <f t="shared" si="5"/>
        <v>63</v>
      </c>
      <c r="Y43" s="36">
        <v>130.0</v>
      </c>
      <c r="Z43" s="14">
        <f t="shared" si="6"/>
        <v>-67</v>
      </c>
      <c r="AA43" s="14">
        <f t="shared" si="7"/>
        <v>0</v>
      </c>
    </row>
    <row r="44" ht="23.25" customHeight="1">
      <c r="A44" s="31" t="s">
        <v>50</v>
      </c>
      <c r="B44" s="32" t="s">
        <v>99</v>
      </c>
      <c r="C44" s="32">
        <v>2.0</v>
      </c>
      <c r="D44" s="32">
        <v>3.0</v>
      </c>
      <c r="E44" s="32"/>
      <c r="F44" s="32">
        <v>1.0</v>
      </c>
      <c r="G44" s="32"/>
      <c r="H44" s="32">
        <v>2.0</v>
      </c>
      <c r="I44" s="32">
        <v>1.0</v>
      </c>
      <c r="J44" s="32">
        <v>4.0</v>
      </c>
      <c r="K44" s="32">
        <v>48.0</v>
      </c>
      <c r="L44" s="32"/>
      <c r="M44" s="32">
        <v>2.0</v>
      </c>
      <c r="N44" s="32">
        <v>1.0</v>
      </c>
      <c r="O44" s="32">
        <v>3.0</v>
      </c>
      <c r="P44" s="32">
        <v>1.0</v>
      </c>
      <c r="Q44" s="32"/>
      <c r="R44" s="33"/>
      <c r="S44" s="34">
        <v>5.0</v>
      </c>
      <c r="T44" s="13">
        <f t="shared" si="1"/>
        <v>4.533333333</v>
      </c>
      <c r="U44" s="13">
        <f t="shared" si="2"/>
        <v>5.25</v>
      </c>
      <c r="V44" s="35">
        <f t="shared" si="3"/>
        <v>7</v>
      </c>
      <c r="W44" s="13">
        <f t="shared" si="4"/>
        <v>1.333333333</v>
      </c>
      <c r="X44" s="14">
        <f t="shared" si="5"/>
        <v>4</v>
      </c>
      <c r="Y44" s="36">
        <v>71.0</v>
      </c>
      <c r="Z44" s="14">
        <f t="shared" si="6"/>
        <v>-67</v>
      </c>
      <c r="AA44" s="14">
        <f t="shared" si="7"/>
        <v>0</v>
      </c>
    </row>
    <row r="45" ht="15.75" customHeight="1">
      <c r="A45" s="31" t="s">
        <v>49</v>
      </c>
      <c r="B45" s="32" t="s">
        <v>101</v>
      </c>
      <c r="C45" s="32">
        <v>2.0</v>
      </c>
      <c r="D45" s="32">
        <v>18.0</v>
      </c>
      <c r="E45" s="32">
        <v>10.0</v>
      </c>
      <c r="F45" s="32">
        <v>13.0</v>
      </c>
      <c r="G45" s="32">
        <v>9.0</v>
      </c>
      <c r="H45" s="32">
        <v>11.0</v>
      </c>
      <c r="I45" s="32">
        <v>2.0</v>
      </c>
      <c r="J45" s="32">
        <v>3.0</v>
      </c>
      <c r="K45" s="32">
        <v>6.0</v>
      </c>
      <c r="L45" s="32">
        <v>5.0</v>
      </c>
      <c r="M45" s="32">
        <v>9.0</v>
      </c>
      <c r="N45" s="32">
        <v>8.0</v>
      </c>
      <c r="O45" s="32">
        <v>6.0</v>
      </c>
      <c r="P45" s="32">
        <v>2.0</v>
      </c>
      <c r="Q45" s="32">
        <v>10.0</v>
      </c>
      <c r="R45" s="33"/>
      <c r="S45" s="34">
        <v>50.0</v>
      </c>
      <c r="T45" s="13">
        <f t="shared" si="1"/>
        <v>7.6</v>
      </c>
      <c r="U45" s="13">
        <f t="shared" si="2"/>
        <v>7</v>
      </c>
      <c r="V45" s="35">
        <f t="shared" si="3"/>
        <v>40</v>
      </c>
      <c r="W45" s="13">
        <f t="shared" si="4"/>
        <v>6</v>
      </c>
      <c r="X45" s="14">
        <f t="shared" si="5"/>
        <v>18</v>
      </c>
      <c r="Y45" s="36">
        <v>149.0</v>
      </c>
      <c r="Z45" s="14">
        <f t="shared" si="6"/>
        <v>-131</v>
      </c>
      <c r="AA45" s="14">
        <f t="shared" si="7"/>
        <v>0</v>
      </c>
    </row>
    <row r="46" ht="23.25" customHeight="1">
      <c r="A46" s="31" t="s">
        <v>48</v>
      </c>
      <c r="B46" s="32" t="s">
        <v>102</v>
      </c>
      <c r="C46" s="32">
        <v>1.0</v>
      </c>
      <c r="D46" s="32">
        <v>1.0</v>
      </c>
      <c r="E46" s="32">
        <v>5.0</v>
      </c>
      <c r="F46" s="32">
        <v>14.0</v>
      </c>
      <c r="G46" s="32">
        <v>2.0</v>
      </c>
      <c r="H46" s="32">
        <v>6.0</v>
      </c>
      <c r="I46" s="32">
        <v>1.0</v>
      </c>
      <c r="J46" s="32">
        <v>2.0</v>
      </c>
      <c r="K46" s="32">
        <v>23.0</v>
      </c>
      <c r="L46" s="32">
        <v>4.0</v>
      </c>
      <c r="M46" s="32">
        <v>1.0</v>
      </c>
      <c r="N46" s="32"/>
      <c r="O46" s="32">
        <v>1.0</v>
      </c>
      <c r="P46" s="32">
        <v>4.0</v>
      </c>
      <c r="Q46" s="32">
        <v>2.0</v>
      </c>
      <c r="R46" s="33"/>
      <c r="S46" s="34">
        <v>5.0</v>
      </c>
      <c r="T46" s="13">
        <f t="shared" si="1"/>
        <v>4.466666667</v>
      </c>
      <c r="U46" s="13">
        <f t="shared" si="2"/>
        <v>5</v>
      </c>
      <c r="V46" s="35">
        <f t="shared" si="3"/>
        <v>12</v>
      </c>
      <c r="W46" s="13">
        <f t="shared" si="4"/>
        <v>2.333333333</v>
      </c>
      <c r="X46" s="14">
        <f t="shared" si="5"/>
        <v>7</v>
      </c>
      <c r="Y46" s="36">
        <v>102.0</v>
      </c>
      <c r="Z46" s="14">
        <f t="shared" si="6"/>
        <v>-95</v>
      </c>
      <c r="AA46" s="14">
        <f t="shared" si="7"/>
        <v>0</v>
      </c>
    </row>
    <row r="47" ht="23.25" customHeight="1">
      <c r="A47" s="31" t="s">
        <v>47</v>
      </c>
      <c r="B47" s="32" t="s">
        <v>102</v>
      </c>
      <c r="C47" s="32"/>
      <c r="D47" s="32">
        <v>1.0</v>
      </c>
      <c r="E47" s="32">
        <v>10.0</v>
      </c>
      <c r="F47" s="32">
        <v>6.0</v>
      </c>
      <c r="G47" s="32">
        <v>5.0</v>
      </c>
      <c r="H47" s="32"/>
      <c r="I47" s="32">
        <v>1.0</v>
      </c>
      <c r="J47" s="32"/>
      <c r="K47" s="32">
        <v>10.0</v>
      </c>
      <c r="L47" s="32">
        <v>15.0</v>
      </c>
      <c r="M47" s="32"/>
      <c r="N47" s="32">
        <v>1.0</v>
      </c>
      <c r="O47" s="32"/>
      <c r="P47" s="32">
        <v>7.0</v>
      </c>
      <c r="Q47" s="32"/>
      <c r="R47" s="33"/>
      <c r="S47" s="34">
        <v>5.0</v>
      </c>
      <c r="T47" s="13">
        <f t="shared" si="1"/>
        <v>3.733333333</v>
      </c>
      <c r="U47" s="13">
        <f t="shared" si="2"/>
        <v>3.75</v>
      </c>
      <c r="V47" s="35">
        <f t="shared" si="3"/>
        <v>23</v>
      </c>
      <c r="W47" s="13">
        <f t="shared" si="4"/>
        <v>2.333333333</v>
      </c>
      <c r="X47" s="14">
        <f t="shared" si="5"/>
        <v>7</v>
      </c>
      <c r="Y47" s="36">
        <v>102.0</v>
      </c>
      <c r="Z47" s="14">
        <f t="shared" si="6"/>
        <v>-95</v>
      </c>
      <c r="AA47" s="14">
        <f t="shared" si="7"/>
        <v>0</v>
      </c>
    </row>
    <row r="48" ht="23.25" customHeight="1">
      <c r="A48" s="31" t="s">
        <v>46</v>
      </c>
      <c r="B48" s="32" t="s">
        <v>102</v>
      </c>
      <c r="C48" s="32"/>
      <c r="D48" s="32">
        <v>1.0</v>
      </c>
      <c r="E48" s="32">
        <v>5.0</v>
      </c>
      <c r="F48" s="32">
        <v>13.0</v>
      </c>
      <c r="G48" s="32">
        <v>1.0</v>
      </c>
      <c r="H48" s="32">
        <v>1.0</v>
      </c>
      <c r="I48" s="32">
        <v>1.0</v>
      </c>
      <c r="J48" s="32"/>
      <c r="K48" s="32">
        <v>10.0</v>
      </c>
      <c r="L48" s="32">
        <v>2.0</v>
      </c>
      <c r="M48" s="32">
        <v>6.0</v>
      </c>
      <c r="N48" s="32"/>
      <c r="O48" s="32"/>
      <c r="P48" s="32"/>
      <c r="Q48" s="32"/>
      <c r="R48" s="33"/>
      <c r="S48" s="34">
        <v>5.0</v>
      </c>
      <c r="T48" s="13">
        <f t="shared" si="1"/>
        <v>2.666666667</v>
      </c>
      <c r="U48" s="13">
        <f t="shared" si="2"/>
        <v>2.833333333</v>
      </c>
      <c r="V48" s="35">
        <f t="shared" si="3"/>
        <v>8</v>
      </c>
      <c r="W48" s="13">
        <f t="shared" si="4"/>
        <v>0</v>
      </c>
      <c r="X48" s="14">
        <f t="shared" si="5"/>
        <v>0</v>
      </c>
      <c r="Y48" s="36">
        <v>102.0</v>
      </c>
      <c r="Z48" s="14">
        <f t="shared" si="6"/>
        <v>-102</v>
      </c>
      <c r="AA48" s="14">
        <f t="shared" si="7"/>
        <v>0</v>
      </c>
    </row>
    <row r="49" ht="15.75" customHeight="1">
      <c r="A49" s="31" t="s">
        <v>45</v>
      </c>
      <c r="B49" s="32" t="s">
        <v>101</v>
      </c>
      <c r="C49" s="32"/>
      <c r="D49" s="32"/>
      <c r="E49" s="32">
        <v>1.0</v>
      </c>
      <c r="F49" s="32">
        <v>1.0</v>
      </c>
      <c r="G49" s="32"/>
      <c r="H49" s="32"/>
      <c r="I49" s="32"/>
      <c r="J49" s="32"/>
      <c r="K49" s="32"/>
      <c r="L49" s="32"/>
      <c r="M49" s="32"/>
      <c r="N49" s="32"/>
      <c r="O49" s="32"/>
      <c r="P49" s="32">
        <v>2.0</v>
      </c>
      <c r="Q49" s="32"/>
      <c r="R49" s="33"/>
      <c r="S49" s="34">
        <v>50.0</v>
      </c>
      <c r="T49" s="13">
        <f t="shared" si="1"/>
        <v>0.2666666667</v>
      </c>
      <c r="U49" s="13">
        <f t="shared" si="2"/>
        <v>0.25</v>
      </c>
      <c r="V49" s="35">
        <f t="shared" si="3"/>
        <v>2</v>
      </c>
      <c r="W49" s="13">
        <f t="shared" si="4"/>
        <v>0.6666666667</v>
      </c>
      <c r="X49" s="14">
        <f t="shared" si="5"/>
        <v>2</v>
      </c>
      <c r="Y49" s="36">
        <v>155.0</v>
      </c>
      <c r="Z49" s="14">
        <f t="shared" si="6"/>
        <v>-153</v>
      </c>
      <c r="AA49" s="14">
        <f t="shared" si="7"/>
        <v>0</v>
      </c>
    </row>
    <row r="50" ht="23.25" customHeight="1">
      <c r="A50" s="31" t="s">
        <v>44</v>
      </c>
      <c r="B50" s="32" t="s">
        <v>102</v>
      </c>
      <c r="C50" s="32"/>
      <c r="D50" s="32">
        <v>3.0</v>
      </c>
      <c r="E50" s="32">
        <v>10.0</v>
      </c>
      <c r="F50" s="32">
        <v>20.0</v>
      </c>
      <c r="G50" s="32">
        <v>6.0</v>
      </c>
      <c r="H50" s="32">
        <v>3.0</v>
      </c>
      <c r="I50" s="32">
        <v>1.0</v>
      </c>
      <c r="J50" s="32"/>
      <c r="K50" s="32">
        <v>5.0</v>
      </c>
      <c r="L50" s="32"/>
      <c r="M50" s="32"/>
      <c r="N50" s="32"/>
      <c r="O50" s="32"/>
      <c r="P50" s="32"/>
      <c r="Q50" s="32"/>
      <c r="R50" s="33"/>
      <c r="S50" s="34">
        <v>5.0</v>
      </c>
      <c r="T50" s="13">
        <f t="shared" si="1"/>
        <v>3.2</v>
      </c>
      <c r="U50" s="13">
        <f t="shared" si="2"/>
        <v>2.916666667</v>
      </c>
      <c r="V50" s="35">
        <f t="shared" si="3"/>
        <v>0</v>
      </c>
      <c r="W50" s="13">
        <f t="shared" si="4"/>
        <v>0</v>
      </c>
      <c r="X50" s="14">
        <f t="shared" si="5"/>
        <v>0</v>
      </c>
      <c r="Y50" s="36">
        <v>110.0</v>
      </c>
      <c r="Z50" s="14">
        <f t="shared" si="6"/>
        <v>-110</v>
      </c>
      <c r="AA50" s="14">
        <f t="shared" si="7"/>
        <v>0</v>
      </c>
    </row>
    <row r="51" ht="15.75" customHeight="1">
      <c r="A51" s="31" t="s">
        <v>43</v>
      </c>
      <c r="B51" s="32" t="s">
        <v>101</v>
      </c>
      <c r="C51" s="32">
        <v>2.0</v>
      </c>
      <c r="D51" s="32">
        <v>19.0</v>
      </c>
      <c r="E51" s="32">
        <v>9.0</v>
      </c>
      <c r="F51" s="32">
        <v>13.0</v>
      </c>
      <c r="G51" s="32">
        <v>9.0</v>
      </c>
      <c r="H51" s="32">
        <v>11.0</v>
      </c>
      <c r="I51" s="32">
        <v>2.0</v>
      </c>
      <c r="J51" s="32">
        <v>5.0</v>
      </c>
      <c r="K51" s="32">
        <v>6.0</v>
      </c>
      <c r="L51" s="32">
        <v>5.0</v>
      </c>
      <c r="M51" s="32">
        <v>9.0</v>
      </c>
      <c r="N51" s="32">
        <v>8.0</v>
      </c>
      <c r="O51" s="32">
        <v>6.0</v>
      </c>
      <c r="P51" s="32">
        <v>2.0</v>
      </c>
      <c r="Q51" s="32">
        <v>10.0</v>
      </c>
      <c r="R51" s="33"/>
      <c r="S51" s="34">
        <v>20.0</v>
      </c>
      <c r="T51" s="13">
        <f t="shared" si="1"/>
        <v>7.733333333</v>
      </c>
      <c r="U51" s="13">
        <f t="shared" si="2"/>
        <v>7.166666667</v>
      </c>
      <c r="V51" s="35">
        <f t="shared" si="3"/>
        <v>40</v>
      </c>
      <c r="W51" s="13">
        <f t="shared" si="4"/>
        <v>6</v>
      </c>
      <c r="X51" s="14">
        <f t="shared" si="5"/>
        <v>18</v>
      </c>
      <c r="Y51" s="36">
        <v>145.0</v>
      </c>
      <c r="Z51" s="14">
        <f t="shared" si="6"/>
        <v>-127</v>
      </c>
      <c r="AA51" s="14">
        <f t="shared" si="7"/>
        <v>0</v>
      </c>
    </row>
    <row r="52" ht="15.75" customHeight="1">
      <c r="A52" s="31" t="s">
        <v>42</v>
      </c>
      <c r="B52" s="32" t="s">
        <v>101</v>
      </c>
      <c r="C52" s="32">
        <v>10.0</v>
      </c>
      <c r="D52" s="32">
        <v>78.0</v>
      </c>
      <c r="E52" s="32">
        <v>38.0</v>
      </c>
      <c r="F52" s="32">
        <v>33.0</v>
      </c>
      <c r="G52" s="32">
        <v>25.0</v>
      </c>
      <c r="H52" s="32">
        <v>28.0</v>
      </c>
      <c r="I52" s="32">
        <v>15.0</v>
      </c>
      <c r="J52" s="32">
        <v>24.0</v>
      </c>
      <c r="K52" s="32">
        <v>27.0</v>
      </c>
      <c r="L52" s="32">
        <v>15.0</v>
      </c>
      <c r="M52" s="32">
        <v>29.0</v>
      </c>
      <c r="N52" s="32">
        <v>28.0</v>
      </c>
      <c r="O52" s="32">
        <v>10.0</v>
      </c>
      <c r="P52" s="32">
        <v>15.0</v>
      </c>
      <c r="Q52" s="32">
        <v>17.0</v>
      </c>
      <c r="R52" s="33"/>
      <c r="S52" s="34">
        <v>50.0</v>
      </c>
      <c r="T52" s="13">
        <f t="shared" si="1"/>
        <v>26.13333333</v>
      </c>
      <c r="U52" s="13">
        <f t="shared" si="2"/>
        <v>22.16666667</v>
      </c>
      <c r="V52" s="35">
        <f t="shared" si="3"/>
        <v>114</v>
      </c>
      <c r="W52" s="13">
        <f t="shared" si="4"/>
        <v>14</v>
      </c>
      <c r="X52" s="14">
        <f t="shared" si="5"/>
        <v>42</v>
      </c>
      <c r="Y52" s="36">
        <v>239.0</v>
      </c>
      <c r="Z52" s="14">
        <f t="shared" si="6"/>
        <v>-197</v>
      </c>
      <c r="AA52" s="14">
        <f t="shared" si="7"/>
        <v>0</v>
      </c>
    </row>
    <row r="53" ht="15.75" customHeight="1">
      <c r="A53" s="37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38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37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38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37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38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37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38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37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38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37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38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37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38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37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38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37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38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37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38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37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38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37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38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37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38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37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38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37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38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37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38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37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38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37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38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37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38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37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38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37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38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37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38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37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38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37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38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37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38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37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38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37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38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37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38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37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38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37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38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37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38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37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38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37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38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37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38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37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38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37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38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37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38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37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38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37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38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37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38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37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38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37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38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37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38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37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38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37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38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37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38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37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38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37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38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37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38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37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38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37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38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37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38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37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38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37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38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37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38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37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38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37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38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37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38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37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38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37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38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37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38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37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38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37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38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37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38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37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38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37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38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37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38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37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38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37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38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37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38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37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38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37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38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37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38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37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38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37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38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37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38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37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38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37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38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37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38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37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38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37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38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37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38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37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38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37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38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37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38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37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38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37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38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37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38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37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38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37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38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37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38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37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38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37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38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37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38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37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38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37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38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37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38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37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38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37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38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37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38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37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38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37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38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37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38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37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38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37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38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37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38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37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38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37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38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37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38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37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38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37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38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37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38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37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38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37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38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37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38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37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38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37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38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37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38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37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38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37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38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37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38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37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38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37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38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37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38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37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38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37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38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37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38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37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38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37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38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37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38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37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38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37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38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37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38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37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38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37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38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37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38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37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38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37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38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37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38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37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38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37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38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37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38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37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38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37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38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37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38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37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38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37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38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37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38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37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38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37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38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37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38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37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38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37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38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37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38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37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38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37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38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37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38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37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38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37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38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37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38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37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38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37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38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37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38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37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38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37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38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37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38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37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38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37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38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37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38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37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38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37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38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37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38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37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38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37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38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37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38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37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38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37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38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37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38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37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38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37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38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37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38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37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38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37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38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37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38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37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38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37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38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37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38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37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38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37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38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37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38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37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38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37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38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37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38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37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38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37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38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37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38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37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38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37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38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37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38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37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38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autoFilter ref="$A$2:$AA$52"/>
  <printOptions/>
  <pageMargins bottom="1.0" footer="0.0" header="0.0" left="0.75" right="0.75" top="1.0"/>
  <pageSetup paperSize="9" orientation="portrait"/>
  <drawing r:id="rId1"/>
</worksheet>
</file>