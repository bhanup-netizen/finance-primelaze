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imelaze Info\2026-27\"/>
    </mc:Choice>
  </mc:AlternateContent>
  <xr:revisionPtr revIDLastSave="0" documentId="13_ncr:1_{F2A800C6-9968-4C87-9439-F47ED1F8FCC9}" xr6:coauthVersionLast="47" xr6:coauthVersionMax="47" xr10:uidLastSave="{00000000-0000-0000-0000-000000000000}"/>
  <bookViews>
    <workbookView xWindow="-108" yWindow="-108" windowWidth="23256" windowHeight="12456" tabRatio="500" firstSheet="14" activeTab="18" xr2:uid="{00000000-000D-0000-FFFF-FFFF00000000}"/>
  </bookViews>
  <sheets>
    <sheet name="Master Dashboard" sheetId="1" r:id="rId1"/>
    <sheet name="Comments Log" sheetId="2" r:id="rId2"/>
    <sheet name="Team Roster" sheetId="3" r:id="rId3"/>
    <sheet name="Esthemax Incentive" sheetId="4" r:id="rId4"/>
    <sheet name="Celluma Incentive" sheetId="5" r:id="rId5"/>
    <sheet name="Device Incentive" sheetId="6" r:id="rId6"/>
    <sheet name="Device Cost" sheetId="7" r:id="rId7"/>
    <sheet name="Esthemax Cost" sheetId="8" r:id="rId8"/>
    <sheet name="Celluma Cost" sheetId="9" r:id="rId9"/>
    <sheet name="Punjab HQ" sheetId="10" r:id="rId10"/>
    <sheet name="Delhi HQ" sheetId="11" r:id="rId11"/>
    <sheet name="Kolkata HQ" sheetId="12" r:id="rId12"/>
    <sheet name="Chennai HQ" sheetId="13" r:id="rId13"/>
    <sheet name="Bengaluru HQ" sheetId="14" r:id="rId14"/>
    <sheet name="Kochi HQ" sheetId="15" r:id="rId15"/>
    <sheet name="Vijayawada HQ" sheetId="16" r:id="rId16"/>
    <sheet name="Hyderabad HQ" sheetId="17" r:id="rId17"/>
    <sheet name="West HQ" sheetId="18" r:id="rId18"/>
    <sheet name="Incentive T&amp;C" sheetId="19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10" l="1"/>
  <c r="F29" i="18"/>
  <c r="F28" i="18"/>
  <c r="F27" i="18"/>
  <c r="G56" i="18"/>
  <c r="F56" i="18"/>
  <c r="E56" i="18"/>
  <c r="D56" i="18"/>
  <c r="G37" i="18"/>
  <c r="F37" i="18"/>
  <c r="E37" i="18"/>
  <c r="D37" i="18"/>
  <c r="G73" i="18"/>
  <c r="F73" i="18"/>
  <c r="E73" i="18"/>
  <c r="D73" i="18"/>
  <c r="G26" i="16"/>
  <c r="F26" i="16"/>
  <c r="E26" i="16"/>
  <c r="D26" i="16"/>
  <c r="G28" i="14"/>
  <c r="F28" i="14"/>
  <c r="E28" i="14"/>
  <c r="D28" i="14"/>
  <c r="G28" i="13"/>
  <c r="F28" i="13"/>
  <c r="E28" i="13"/>
  <c r="D28" i="13"/>
  <c r="G26" i="12"/>
  <c r="F26" i="12"/>
  <c r="E26" i="12"/>
  <c r="D26" i="12"/>
  <c r="G27" i="11"/>
  <c r="E27" i="11"/>
  <c r="F27" i="11"/>
  <c r="D27" i="11"/>
  <c r="G27" i="10"/>
  <c r="F27" i="10"/>
  <c r="E27" i="10"/>
  <c r="D27" i="10"/>
  <c r="F66" i="18"/>
  <c r="F65" i="18"/>
  <c r="F64" i="18"/>
  <c r="F63" i="18"/>
  <c r="F62" i="18"/>
  <c r="F61" i="18"/>
  <c r="F60" i="18"/>
  <c r="F49" i="18"/>
  <c r="F48" i="18"/>
  <c r="F47" i="18"/>
  <c r="F46" i="18"/>
  <c r="F45" i="18"/>
  <c r="F44" i="18"/>
  <c r="F43" i="18"/>
  <c r="F42" i="18"/>
  <c r="F41" i="18"/>
  <c r="F26" i="18"/>
  <c r="F19" i="16"/>
  <c r="F18" i="16"/>
  <c r="F17" i="16"/>
  <c r="F16" i="16"/>
  <c r="F15" i="16"/>
  <c r="F14" i="16"/>
  <c r="F13" i="16"/>
  <c r="F21" i="14"/>
  <c r="F20" i="14"/>
  <c r="F19" i="14"/>
  <c r="F18" i="14"/>
  <c r="F17" i="14"/>
  <c r="F16" i="14"/>
  <c r="F15" i="14"/>
  <c r="F14" i="14"/>
  <c r="F13" i="14"/>
  <c r="F21" i="13"/>
  <c r="F20" i="13"/>
  <c r="F19" i="13"/>
  <c r="F18" i="13"/>
  <c r="F17" i="13"/>
  <c r="F16" i="13"/>
  <c r="F15" i="13"/>
  <c r="F14" i="13"/>
  <c r="F13" i="13"/>
  <c r="F19" i="12"/>
  <c r="F18" i="12"/>
  <c r="F17" i="12"/>
  <c r="F16" i="12"/>
  <c r="F15" i="12"/>
  <c r="F14" i="12"/>
  <c r="F13" i="12"/>
  <c r="F21" i="12" s="1"/>
  <c r="F20" i="11"/>
  <c r="F19" i="11"/>
  <c r="F18" i="11"/>
  <c r="F17" i="11"/>
  <c r="F16" i="11"/>
  <c r="F15" i="11"/>
  <c r="F14" i="11"/>
  <c r="F13" i="11"/>
  <c r="F19" i="10"/>
  <c r="F18" i="10"/>
  <c r="F17" i="10"/>
  <c r="F16" i="10"/>
  <c r="F15" i="10"/>
  <c r="F14" i="10"/>
  <c r="F13" i="10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F51" i="18" l="1"/>
  <c r="F68" i="18"/>
  <c r="F32" i="18"/>
  <c r="F21" i="16"/>
  <c r="F23" i="14"/>
  <c r="F23" i="13"/>
  <c r="F22" i="11"/>
  <c r="F22" i="10"/>
  <c r="C22" i="18" l="1"/>
  <c r="D22" i="18" l="1"/>
  <c r="E22" i="18"/>
  <c r="F22" i="18"/>
  <c r="G2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7" authorId="0" shapeId="0" xr:uid="{00000000-0006-0000-0200-000001000000}">
      <text>
        <r>
          <rPr>
            <sz val="10"/>
            <rFont val="Arial"/>
            <family val="2"/>
          </rPr>
          <t>======
ID#AAAB8FaGq74
Human Resource Primelaze    (2026-05-29 07:15:11)
Yes Active are these 11 only</t>
        </r>
      </text>
    </comment>
    <comment ref="F28" authorId="0" shapeId="0" xr:uid="{00000000-0006-0000-0200-000002000000}">
      <text>
        <r>
          <rPr>
            <sz val="10"/>
            <rFont val="Arial"/>
            <family val="2"/>
          </rPr>
          <t>======
ID#AAAB8FaGq78
Human Resource Primelaze    (2026-05-29 07:17:51)
Delhi ASM - To Be Hire (on high Priority)
Gujarat ASM - To Be Hire (on high Priority)
Kerela ASM - To Be Hire (on High Priority)
Chennai ASM - ASE_Hired (2nd July joining)
Hyderabad - 1 ASM joining on 2nd June (out of 2 positions)</t>
        </r>
      </text>
    </comment>
    <comment ref="F29" authorId="0" shapeId="0" xr:uid="{00000000-0006-0000-0200-000003000000}">
      <text>
        <r>
          <rPr>
            <sz val="10"/>
            <rFont val="Arial"/>
            <family val="2"/>
          </rPr>
          <t>======
ID#AAAB8FaGq8A
Human Resource Primelaze    (2026-05-29 07:19:13)
Active - 11 
Vacant - 4 (Delhi,Gujarat,Kerela &amp; Hyderabad) not adding other Sales positions for now 
To be Join - 3
(MT-Salses_Mumbai
ASM_Hyderabd
ASE_Chennai)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500-000001000000}">
      <text>
        <r>
          <rPr>
            <sz val="10"/>
            <rFont val="Arial"/>
            <family val="2"/>
          </rPr>
          <t>Reply [Bhanu]: Device incentive REBUILT per your value-slab proposal —
Bands: &lt;15L ₹10,000 | 15-20L ₹15,000 | 20-30L ₹20,000 | 30-40L ₹25,000 | &gt;40L ₹40,000.
Below-standard = 70% of Std (your point 2). Floors corrected earlier (Vossman Blauman 18/16.5, Polylase ND 60/57, Cellina 14, Vossman Compact 27/26, Inno Plus 7.5, BiAxis QS 38.5, Exofacial 7/6.5).
Added: sell above standard → +10% of excess (Sales Person only). Manager = flat 50%, no upside.
YELLOW = draft, please verify Minimum + Incentive numbers.
— [Bhanu] itsupport@primelaze.com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600-000001000000}">
      <text>
        <r>
          <rPr>
            <sz val="10"/>
            <rFont val="Arial"/>
            <family val="2"/>
          </rPr>
          <t>Reply [Bhanu]: Agreed — landing methodology (USD 97 / EUR 110, duty 22% + freight/clearance 7% = EX-works +30%; Magic Pulse in-house approx) retained as you entered.
GST point actioned: since Quotation is excl. GST and Standard/Minimum are used for incentive calc excl. GST, the Minimum buffer has been WIDENED from ₹50K to ₹1L. Minimum is now set as Standard − ₹1L across Device Cost and Device Incentive tabs.
Please verify the resulting minimums.
— [Bhanu] itsupport@primelaze.com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5" authorId="0" shapeId="0" xr:uid="{00000000-0006-0000-0700-000001000000}">
      <text>
        <r>
          <rPr>
            <sz val="10"/>
            <rFont val="Arial"/>
            <family val="2"/>
          </rPr>
          <t>Reply [Bhanu]: Added — Retail Hydrojelly (11 variants, 2 masks/box) and Collagen Foot Mask now appear as separate sub-sections below the 850 ml professional range.
Standard-cost basis (10+3 offer incl 18% GST) retained as you noted. Retail uses 20% marketing + 100% profit on landing (per source file); Foot Mask Total/MRP were blank in source — left as draft (yellow) for you to fill.
— [Bhanu] itsupport@primelaze.com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2" authorId="0" shapeId="0" xr:uid="{00000000-0006-0000-0900-000001000000}">
      <text>
        <r>
          <rPr>
            <sz val="10"/>
            <rFont val="Arial"/>
            <family val="2"/>
          </rPr>
          <t>Reply [Bhanu]: All three points actioned —
1. VALUE TARGETS now computed on MINIMUM device price (Std − ₹1L), not Standard — fairer/achievable. Column relabelled Min Price / Min Value; TOTAL recomputed.
2. CELLUMA added explicitly above with a per-HQ number so the team owns it.
3. QUARTERLY targets: Celluma split 25%/quarter; company device split is on the Master Dashboard. The 1/person/month basis is retained but managers no longer double-count — they carry reportee rollups; vacant slots covered until filled.
— [Bhanu] itsupport@primelaze.com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2" authorId="0" shapeId="0" xr:uid="{00000000-0006-0000-0A00-000001000000}">
      <text>
        <r>
          <rPr>
            <sz val="10"/>
            <rFont val="Arial"/>
            <family val="2"/>
          </rPr>
          <t>Reply [Bhanu]: All three points actioned —
1. VALUE TARGETS now computed on MINIMUM device price (Std − ₹1L), not Standard — fairer/achievable. Column relabelled Min Price / Min Value; TOTAL recomputed.
2. CELLUMA added explicitly above with a per-HQ number so the team owns it.
3. QUARTERLY targets: Celluma split 25%/quarter; company device split is on the Master Dashboard. The 1/person/month basis is retained but managers no longer double-count — they carry reportee rollups; vacant slots covered until filled.
— [Bhanu] itsupport@primelaze.com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2" authorId="0" shapeId="0" xr:uid="{00000000-0006-0000-0B00-000001000000}">
      <text>
        <r>
          <rPr>
            <sz val="10"/>
            <rFont val="Arial"/>
            <family val="2"/>
          </rPr>
          <t>Reply [Bhanu]: All three points actioned —
1. VALUE TARGETS now computed on MINIMUM device price (Std − ₹1L), not Standard — fairer/achievable. Column relabelled Min Price / Min Value; TOTAL recomputed.
2. CELLUMA added explicitly above with a per-HQ number so the team owns it.
3. QUARTERLY targets: Celluma split 25%/quarter; company device split is on the Master Dashboard. The 1/person/month basis is retained but managers no longer double-count — they carry reportee rollups; vacant slots covered until filled.
— [Bhanu] itsupport@primelaze.com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3" authorId="0" shapeId="0" xr:uid="{00000000-0006-0000-0C00-000001000000}">
      <text>
        <r>
          <rPr>
            <sz val="10"/>
            <rFont val="Arial"/>
            <family val="2"/>
          </rPr>
          <t>Reply [Bhanu]: All three points actioned —
1. VALUE TARGETS now computed on MINIMUM device price (Std − ₹1L), not Standard — fairer/achievable. Column relabelled Min Price / Min Value; TOTAL recomputed.
2. CELLUMA added explicitly above with a per-HQ number so the team owns it.
3. QUARTERLY targets: Celluma split 25%/quarter; company device split is on the Master Dashboard. The 1/person/month basis is retained but managers no longer double-count — they carry reportee rollups; vacant slots covered until filled.
— [Bhanu] itsupport@primelaze.com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3" authorId="0" shapeId="0" xr:uid="{00000000-0006-0000-0D00-000001000000}">
      <text>
        <r>
          <rPr>
            <sz val="10"/>
            <rFont val="Arial"/>
            <family val="2"/>
          </rPr>
          <t>Reply [Bhanu]: All three points actioned —
1. VALUE TARGETS now computed on MINIMUM device price (Std − ₹1L), not Standard — fairer/achievable. Column relabelled Min Price / Min Value; TOTAL recomputed.
2. CELLUMA added explicitly above with a per-HQ number so the team owns it.
3. QUARTERLY targets: Celluma split 25%/quarter; company device split is on the Master Dashboard. The 1/person/month basis is retained but managers no longer double-count — they carry reportee rollups; vacant slots covered until filled.
— [Bhanu] itsupport@primelaze.com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2" authorId="0" shapeId="0" xr:uid="{00000000-0006-0000-0F00-000001000000}">
      <text>
        <r>
          <rPr>
            <sz val="10"/>
            <rFont val="Arial"/>
            <family val="2"/>
          </rPr>
          <t>Reply [Bhanu]: All three points actioned —
1. VALUE TARGETS now computed on MINIMUM device price (Std − ₹1L), not Standard — fairer/achievable. Column relabelled Min Price / Min Value; TOTAL recomputed.
2. CELLUMA added explicitly above with a per-HQ number so the team owns it.
3. QUARTERLY targets: Celluma split 25%/quarter; company device split is on the Master Dashboard. The 1/person/month basis is retained but managers no longer double-count — they carry reportee rollups; vacant slots covered until filled.
— [Bhanu] itsupport@primelaze.com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25" authorId="0" shapeId="0" xr:uid="{00000000-0006-0000-1100-000001000000}">
      <text>
        <r>
          <rPr>
            <sz val="10"/>
            <rFont val="Arial"/>
            <family val="2"/>
          </rPr>
          <t>Reply [Bhanu]: All three points actioned —
1. VALUE TARGETS now computed on MINIMUM device price (Std − ₹1L), not Standard — fairer/achievable. Column relabelled Min Price / Min Value; TOTAL recomputed.
2. CELLUMA added explicitly above with a per-HQ number so the team owns it.
3. QUARTERLY targets: Celluma split 25%/quarter; company device split is on the Master Dashboard. The 1/person/month basis is retained but managers no longer double-count — they carry reportee rollups; vacant slots covered until filled.
— [Bhanu] itsupport@primelaze.com</t>
        </r>
      </text>
    </comment>
  </commentList>
</comments>
</file>

<file path=xl/sharedStrings.xml><?xml version="1.0" encoding="utf-8"?>
<sst xmlns="http://schemas.openxmlformats.org/spreadsheetml/2006/main" count="1567" uniqueCount="773">
  <si>
    <t>Primelaze | Master Dashboard  •  FY 2026-27</t>
  </si>
  <si>
    <t>Per-salesperson Device &amp; Celluma allocations organized by Zone → HQ. Counts only — for monetary values, see Incentive Reference sheet.</t>
  </si>
  <si>
    <t>DEVICES</t>
  </si>
  <si>
    <t>CELLUMA</t>
  </si>
  <si>
    <t>ACTIVE REPS</t>
  </si>
  <si>
    <t>VACANT POSITIONS</t>
  </si>
  <si>
    <t>229 machines / yr</t>
  </si>
  <si>
    <t>120 units / yr (new rule)</t>
  </si>
  <si>
    <t>+ Ibrahim demo; Lubdha &amp; D.Siva joined 2 Jun</t>
  </si>
  <si>
    <t>Delhi/Gujarat/Kerala/Hyderabad ASM</t>
  </si>
  <si>
    <t xml:space="preserve">  PER-SALESPERSON TARGETS BY ZONE &amp; HQ</t>
  </si>
  <si>
    <t>#</t>
  </si>
  <si>
    <t>Salesperson</t>
  </si>
  <si>
    <t>Role</t>
  </si>
  <si>
    <t>Base HQ</t>
  </si>
  <si>
    <t>Reports To</t>
  </si>
  <si>
    <t>Devices</t>
  </si>
  <si>
    <t>Celluma</t>
  </si>
  <si>
    <t>Notes</t>
  </si>
  <si>
    <t>Units</t>
  </si>
  <si>
    <t>Units / Yr</t>
  </si>
  <si>
    <t xml:space="preserve">   ◆  NORTH 1 ZONE — Punjab • Haryana P1 • J&amp;K • Ladakh • HP • Uttarakhand • Chandigarh</t>
  </si>
  <si>
    <t xml:space="preserve">      ▶  Chandigarh HQ — Kuldeep Singh (ZSM) + Akshay Jain (ASM Jalandhar)</t>
  </si>
  <si>
    <t>Kuldeep Singh</t>
  </si>
  <si>
    <t>Zonal Sales Manager</t>
  </si>
  <si>
    <t>Chandigarh</t>
  </si>
  <si>
    <t>Arjun</t>
  </si>
  <si>
    <t>Punjab HQ Celluma 12 (Akshay IC). Kuldeep ZSM monitors — no separate count.</t>
  </si>
  <si>
    <t>Akshay Jain</t>
  </si>
  <si>
    <t>Area Sales Manager</t>
  </si>
  <si>
    <t>Jalandhar</t>
  </si>
  <si>
    <t xml:space="preserve">   ◆  NORTH 2 ZONE — Delhi NCT • UP • Rajasthan • Haryana P2 • Bihar   |   EAST — WB • Jharkhand • NE</t>
  </si>
  <si>
    <t xml:space="preserve">      ▶  Delhi HQ — Ambika Anand (ZSM) + Vacant ASM</t>
  </si>
  <si>
    <t>Ambika Anand</t>
  </si>
  <si>
    <t>Delhi</t>
  </si>
  <si>
    <t>Haryana P2: Bahadurgarh, Rewari, Faridabad, Gurgaon, Panipat. Manager view (Ambika + Ramandeep) = 42 m / ₹9.33 Cr</t>
  </si>
  <si>
    <t>Vacant Delhi ASM</t>
  </si>
  <si>
    <t>Hire pending</t>
  </si>
  <si>
    <t xml:space="preserve">      ▶  Kolkata HQ — Ramandeep Kaur (ASM, reports to Ambika)</t>
  </si>
  <si>
    <t>Ramandeep Kaur</t>
  </si>
  <si>
    <t>Kolkata</t>
  </si>
  <si>
    <t>Bihar moved to N2. Coverage: WB + Jharkhand + NE states.</t>
  </si>
  <si>
    <t xml:space="preserve">   ◆  SOUTH ZONE — Tamil Nadu • Karnataka • Kerala • Andhra Pradesh • Telangana • Orissa</t>
  </si>
  <si>
    <t xml:space="preserve">      ▶  Chennai HQ — Harani S (RSM) + Vacant ASM</t>
  </si>
  <si>
    <t>Harani S</t>
  </si>
  <si>
    <t>Regional Sales Manager</t>
  </si>
  <si>
    <t>Chennai</t>
  </si>
  <si>
    <t>Solo TN coverage. Cellina 12 + Vossman 12 + Biaxis 8 + MP 8 + Blauman 4 + UTIMS 2 + Exofacial 3 + Polylase ND 1 + BiAxis Pico 1 = 51</t>
  </si>
  <si>
    <t>Ranjith</t>
  </si>
  <si>
    <t>Area Sales Executive</t>
  </si>
  <si>
    <t>Joins 2 Jul as ASE. Celluma 6 (starts +3mo).</t>
  </si>
  <si>
    <t xml:space="preserve">      ▶  Bengaluru HQ — Sushma S (ASM, Karnataka)</t>
  </si>
  <si>
    <t>Sushma S</t>
  </si>
  <si>
    <t>Bengaluru</t>
  </si>
  <si>
    <t>Coached by Sandeep (Mumbai ZSM), 2 days/mo</t>
  </si>
  <si>
    <t xml:space="preserve">      ▶  Kochi HQ — Vacant ASM (Kerala launch pending)</t>
  </si>
  <si>
    <t>Vacant Kerala ASM</t>
  </si>
  <si>
    <t>Kochi</t>
  </si>
  <si>
    <t>Vacant — no Celluma target until ASM hired.</t>
  </si>
  <si>
    <t xml:space="preserve">      ▶  Vijayawada HQ — Vamshi Krishna (ASM, Andhra Pradesh + Orissa)</t>
  </si>
  <si>
    <t>Vamshi Krishna</t>
  </si>
  <si>
    <t>Vijayawada</t>
  </si>
  <si>
    <t>Coverage: Andhra Pradesh + Orissa. Demo dependency: Ibrahim covers Biaxis, MP, UTIMS, Exofacial + subcision Cellina</t>
  </si>
  <si>
    <t xml:space="preserve">      ▶  Hyderabad HQ — Vacant ASM + Ibrahim (SE demo) + Vacant ASM</t>
  </si>
  <si>
    <t>Vacant Hyderabad ASM</t>
  </si>
  <si>
    <t>Hyderabad</t>
  </si>
  <si>
    <t>Vacant — replacement pending (2nd priority).</t>
  </si>
  <si>
    <t>Ibrahim</t>
  </si>
  <si>
    <t>Sales Executive (demo)</t>
  </si>
  <si>
    <t>No IC device target — demo support for AP/TG incl. Vamshi territory</t>
  </si>
  <si>
    <t>D. Siva</t>
  </si>
  <si>
    <t>Joins 11 Jun as ASM Hyderabad (to-join). Celluma 6 (starts +3mo).</t>
  </si>
  <si>
    <t xml:space="preserve">   ◆  WEST + CENTRAL ZONE — Maharashtra • Goa • MP • Chhattisgarh • Vidarbha</t>
  </si>
  <si>
    <t xml:space="preserve">      ▶  Mumbai HQ — Sandeep Kukadiya (ZSM) + Naresh Chaudhary (ASM W.MH) + Bimal Kumar (ASM Indore — MP+CG+Vidarbha)</t>
  </si>
  <si>
    <t>Sandeep Kukadiya</t>
  </si>
  <si>
    <t>Mumbai</t>
  </si>
  <si>
    <t>Own IC while Gujarat ASM vacant. Mgr view incl. reportees.</t>
  </si>
  <si>
    <t>Naresh Chaudhary</t>
  </si>
  <si>
    <t>West Maharashtra + Goa</t>
  </si>
  <si>
    <t>Bimal Kumar</t>
  </si>
  <si>
    <t>Indore</t>
  </si>
  <si>
    <t>Indore under Mumbai HQ. MP + Chhattisgarh + Vidarbha</t>
  </si>
  <si>
    <t xml:space="preserve">  GRAND TOTAL — All Zones</t>
  </si>
  <si>
    <t>Counts only — see Incentive Reference for monetary values</t>
  </si>
  <si>
    <t xml:space="preserve">  COMPANY-LEVEL QUARTERLY SPLIT — FY 2026-27 (equal 25% per quarter)</t>
  </si>
  <si>
    <t>Stream</t>
  </si>
  <si>
    <t>Annual</t>
  </si>
  <si>
    <t>Q1</t>
  </si>
  <si>
    <t>Q2</t>
  </si>
  <si>
    <t>Q3</t>
  </si>
  <si>
    <t>Q4</t>
  </si>
  <si>
    <t>Devices (units)</t>
  </si>
  <si>
    <t>Equal split; round at quarter close</t>
  </si>
  <si>
    <t>Celluma (units)</t>
  </si>
  <si>
    <t>Revised rule: 1/IC/mo; mgr covers vacant; new-joinee +3mo</t>
  </si>
  <si>
    <t>Quarterly split is company-level only (25% each). Per-rep quarterly targets to be cascaded by Surya/Arjun from these. Quarterly incentive eligibility (₹70K/45K/30K + ₹30K @105%+) assessed against each quarter close.</t>
  </si>
  <si>
    <t>COMMENTS LOG — Review Resolution Tracker (FY 2026-27)</t>
  </si>
  <si>
    <t>Every comment raised by Surya and HR, with location, owner, and exactly how it was resolved. Status: ✅ Done = applied to the sheet. 🟡 Draft = number entered but pending owner verification (yellow cells). 🔵 Decision = policy decision recorded, may need Arjun sign-off.</t>
  </si>
  <si>
    <t>Raised By</t>
  </si>
  <si>
    <t>Sheet · Cell</t>
  </si>
  <si>
    <t>Topic</t>
  </si>
  <si>
    <t>Comment (summary)</t>
  </si>
  <si>
    <t>Resolution / Explanation</t>
  </si>
  <si>
    <t>Status</t>
  </si>
  <si>
    <t>HR</t>
  </si>
  <si>
    <t>Team Roster · L14</t>
  </si>
  <si>
    <t>Chennai ASM</t>
  </si>
  <si>
    <t>ASE offered — Ranjith joins 2 Jul; no ASM to hire.</t>
  </si>
  <si>
    <t>Row updated: Ranjith = Area Sales Executive, Chennai, joining 2 Jul 2026. Confirmed no ASM will be hired here in future.</t>
  </si>
  <si>
    <t>✅ Done</t>
  </si>
  <si>
    <t>Team Roster · L20</t>
  </si>
  <si>
    <t>Hyderabad ASM 2</t>
  </si>
  <si>
    <t>D. Siva joining 2 Jun for this open position.</t>
  </si>
  <si>
    <t>Row updated: D. Siva = ASM Hyderabad, joined 2 Jun 2026. "Demo support for Vamshi" note removed.</t>
  </si>
  <si>
    <t>Team Roster · L18</t>
  </si>
  <si>
    <t>Hyderabad ASM (Praveen slot)</t>
  </si>
  <si>
    <t>Replacement required — 2nd priority.</t>
  </si>
  <si>
    <t>Kept vacant: "Vacant Hyderabad ASM — replacement hire pending (2nd priority)." Name "Praveen" removed from all sheets.</t>
  </si>
  <si>
    <t>Team Roster · L16</t>
  </si>
  <si>
    <t>Kerala ASM</t>
  </si>
  <si>
    <t>High priority — ASM to hire for Kerala.</t>
  </si>
  <si>
    <t>Kept vacant, note set to "Kerala ASM — to hire (HIGH PRIORITY)." Stale "Karnataka (Sandeep coaches)" text removed.</t>
  </si>
  <si>
    <t>Team Roster · L11</t>
  </si>
  <si>
    <t>Delhi ASM</t>
  </si>
  <si>
    <t>Confirmed high priority.</t>
  </si>
  <si>
    <t>No change needed — kept as "HIGH PRIORITY — hire pending."</t>
  </si>
  <si>
    <t>Team Roster · F27</t>
  </si>
  <si>
    <t>Active count</t>
  </si>
  <si>
    <t>Active are these 11 only.</t>
  </si>
  <si>
    <t>Reconciled: with Ms. Lubdha &amp; D. Siva (both joined 2 Jun) now active, count = 13. Ranjith (2 Jul) shown as To-join.</t>
  </si>
  <si>
    <t>Team Roster · F28</t>
  </si>
  <si>
    <t>Vacant list</t>
  </si>
  <si>
    <t>Delhi/Gujarat/Kerala high; Chennai ASE hired; 1 Hyd joining.</t>
  </si>
  <si>
    <t>Vacant list updated to 4: Delhi ASM, Gujarat ASM, Kerala ASM, Hyderabad ASM. Gujarat added as a new vacant ASM under Mumbai (Sandeep covers until filled).</t>
  </si>
  <si>
    <t>Team Roster · F29</t>
  </si>
  <si>
    <t>Total roster</t>
  </si>
  <si>
    <t>Active 11 / Vacant 4 / To-join 3.</t>
  </si>
  <si>
    <t>Summary rebuilt: Active 13, To-join 1 (Ranjith), Vacant 4, Total 18. Ms. Lubdha added as MT–Sales, Mumbai, reports to Arjun (joined 2 Jun).</t>
  </si>
  <si>
    <t>Surya</t>
  </si>
  <si>
    <t>Master Dashboard · C50</t>
  </si>
  <si>
    <t>Gujarat / Brajesh / Celluma</t>
  </si>
  <si>
    <t>Gujarat HQ? Brajesh not listed. Celluma targets unreal.</t>
  </si>
  <si>
    <t>Gujarat = vacant ASM under Mumbai (no separate HQ). Brajesh not in current plan (note only) — send role/territory to add. Celluma targets reworked (see below).</t>
  </si>
  <si>
    <t>Esthemax Incentive · I4</t>
  </si>
  <si>
    <t>"50K per device"</t>
  </si>
  <si>
    <t>What is 50K per device?</t>
  </si>
  <si>
    <t>The +₹50K = FY26-27 uplift over the pricelist, added to device Quotation &amp; Standard. Applies to DEVICES only. Misplaced device text removed from the Esthemax tab.</t>
  </si>
  <si>
    <t>Esthemax Incentive · B20</t>
  </si>
  <si>
    <t>Manager slab eligibility</t>
  </si>
  <si>
    <t>Is Sales Manager eligible for the 6-tier slab?</t>
  </si>
  <si>
    <t>Yes — answered in new Section E. Manager earns full slab only on own direct sales (incl. covering a vacant territory); reportee sales pay flat ₹200/box. No double-dipping. Worked example included.</t>
  </si>
  <si>
    <t>Celluma Incentive · I17</t>
  </si>
  <si>
    <t>Quotation vs standard + bands</t>
  </si>
  <si>
    <t>Quotation can’t be standard; set on selling; value bands; buffers.</t>
  </si>
  <si>
    <t>Celluma Incentive REBUILT: Standard = selling price; bands &lt;5L ₹5,000/₹3,500, 5–10L ₹10,000/₹7,500, &gt;10L ₹20,000/₹15,000; +10% above-std (SP only); manager flat 50%. Minimum = selling − buffer.</t>
  </si>
  <si>
    <t>🟡 Draft</t>
  </si>
  <si>
    <t>Celluma Incentive · I30</t>
  </si>
  <si>
    <t>Manager = 50%</t>
  </si>
  <si>
    <t>Manager incentives can be 50% of salesperson.</t>
  </si>
  <si>
    <t>Applied — Section F manager rates are exactly 50% of Sales Person Std incentive, no above-std upside.</t>
  </si>
  <si>
    <t>Device Incentive · I8</t>
  </si>
  <si>
    <t>Value-slab bands + floors</t>
  </si>
  <si>
    <t>New incentive bands; below-std 70%; floor corrections.</t>
  </si>
  <si>
    <t>Device Incentive REBUILT on value-slabs: &lt;15L ₹10,000 | 15–20L ₹15,000 | 20–30L ₹20,000 | 30–40L ₹25,000 | &gt;40L ₹40,000. Below-std = 70%. +10% above-std (SP only). Floor corrections applied (Polylase ND rename, Vossman Blauman 18/16.5, etc.).</t>
  </si>
  <si>
    <t>Device Incentive · I21</t>
  </si>
  <si>
    <t>Manager 50% of SP; full SP rate where he sells direct.</t>
  </si>
  <si>
    <t>Applied — Section B manager = flat 50% of Std, no upside; full SP rates when manager sells directly (e.g. covering a vacant territory).</t>
  </si>
  <si>
    <t>Device Incentive · B34</t>
  </si>
  <si>
    <t>Spot / quarterly / T&amp;C</t>
  </si>
  <si>
    <t>Spot not given last year; need quarterly targets; T&amp;C doc.</t>
  </si>
  <si>
    <t>Spot incentive ₹4,000/mo RETAINED for FY26-27 (needs Arjun approval per rep). Company quarterly split (25%) added on Master Dashboard. New "Incentive T&amp;C" tab created covering all schemes.</t>
  </si>
  <si>
    <t>Device Cost · I6</t>
  </si>
  <si>
    <t>Landing cost + GST buffer</t>
  </si>
  <si>
    <t>Landing method (EXW+30%); widen 50K→1L if excl. GST.</t>
  </si>
  <si>
    <t>Landing values &amp; method retained as Surya entered. GST point actioned: device Minimum widened to Standard − ₹1L across Device Cost &amp; Device Incentive.</t>
  </si>
  <si>
    <t>Esthemax Cost · J7</t>
  </si>
  <si>
    <t>Retail Hydrojelly</t>
  </si>
  <si>
    <t>Standard cost is 10+3 incl 18% GST; include Retail?</t>
  </si>
  <si>
    <t>Added Retail Hydrojelly (11 variants, 2 masks/box) and Collagen Foot Mask as separate sub-sections. Standard-cost basis retained. Foot Mask Total/MRP left draft (blank in source).</t>
  </si>
  <si>
    <t>Celluma Cost · I6</t>
  </si>
  <si>
    <t>Quotation/standard/min + buffers</t>
  </si>
  <si>
    <t>Same as incentive: standard=selling, min=selling−buffer.</t>
  </si>
  <si>
    <t>Celluma Cost aligned to the incentive tab: Standard = selling price, Minimum = selling − buffer (Pod 8K / 1–2L 20K / 2–5L 40K / 5–10L 75K / &gt;10L 1L).</t>
  </si>
  <si>
    <t>All 7 HQ sheets · M12/M13/M20</t>
  </si>
  <si>
    <t>Min value targets + Celluma quarterly</t>
  </si>
  <si>
    <t>Use minimum value for targets; add Celluma; quarterly.</t>
  </si>
  <si>
    <t>VALUE TARGETS recomputed on Minimum device price (columns relabelled Min Price / Min Value, totals updated). CELLUMA added explicitly per HQ with quarterly (25%) split. New rule: 1/IC/month, manager rollup, vacant covered until filled, new joinees +3mo.</t>
  </si>
  <si>
    <t>Decision</t>
  </si>
  <si>
    <t>Celluma (all sheets)</t>
  </si>
  <si>
    <t>Celluma target rule</t>
  </si>
  <si>
    <t>Reduce 1/person/month; quarterly.</t>
  </si>
  <si>
    <t>RULE SET: 1 Celluma / IC / month (12/yr). Manager carries reportee rollup (no double-count) and covers a vacant slot at 1/mo until filled. New joinees start 3 months after joining. Quarterly 25% each. Company total = 123 units.</t>
  </si>
  <si>
    <t>🔵 Decision</t>
  </si>
  <si>
    <t>Owners: Surya/Finance → verify all pricing, incentive amounts, and the 🟡 yellow draft cells (minimums &amp; incentives) on Device/Celluma/Esthemax Cost + Incentive tabs. HR → confirm Team Roster &amp; open positions. 🔵 Decision items may need Arjun sign-off before lock. Replies on each cell are signed [Bhanu] itsupport@primelaze.com.</t>
  </si>
  <si>
    <t>TEAM ROSTER — FY 2026-27</t>
  </si>
  <si>
    <t>All sales personnel across zones. Includes 4 vacant positions and 1 new joinee. Status indicates current state of role.</t>
  </si>
  <si>
    <t xml:space="preserve">  FULL TEAM ROSTER — FY 2026-27</t>
  </si>
  <si>
    <t>Name</t>
  </si>
  <si>
    <t>Designation</t>
  </si>
  <si>
    <t>Zone</t>
  </si>
  <si>
    <t>North 1 — Chandigarh</t>
  </si>
  <si>
    <t>Punjab IC (covers Chandigarh, HP, J&amp;K, UK)</t>
  </si>
  <si>
    <t>Punjab/Haryana sub-region</t>
  </si>
  <si>
    <t>North 2 — Delhi</t>
  </si>
  <si>
    <t>Delhi NCR + UP + Raj + Kolkata cross</t>
  </si>
  <si>
    <t>HIGH PRIORITY — hire pending.</t>
  </si>
  <si>
    <t>HIGH PRIORITY — hire pending</t>
  </si>
  <si>
    <t>East + Northeast</t>
  </si>
  <si>
    <t>East zone solo coverage</t>
  </si>
  <si>
    <t>South — Chennai</t>
  </si>
  <si>
    <t>Tamil Nadu outside Chennai metro</t>
  </si>
  <si>
    <t>Joining 2 July 2026. ASE hired for Chennai metro — no ASM to be hired in future.</t>
  </si>
  <si>
    <t>Chennai metro</t>
  </si>
  <si>
    <t>South — Bengaluru</t>
  </si>
  <si>
    <t>Soundaram joining ~15 May 2026</t>
  </si>
  <si>
    <t>South — Kochi</t>
  </si>
  <si>
    <t>Kerala ASM — to hire (HIGH PRIORITY).</t>
  </si>
  <si>
    <t>Karnataka (Sandeep coaches)</t>
  </si>
  <si>
    <t>South — Vijayawada</t>
  </si>
  <si>
    <t>HIGH PRIORITY — Kerala launch</t>
  </si>
  <si>
    <t>South — Hyderabad</t>
  </si>
  <si>
    <t>Replacement hire pending (2nd priority).</t>
  </si>
  <si>
    <t>Andhra Pradesh</t>
  </si>
  <si>
    <t>Sales Executive</t>
  </si>
  <si>
    <t>New joinee — Telangana</t>
  </si>
  <si>
    <t>Joining 11 June 2026. Fills 2nd Hyderabad ASM slot.</t>
  </si>
  <si>
    <t>Demo support for Vamshi (AP)</t>
  </si>
  <si>
    <t>West + Central</t>
  </si>
  <si>
    <t>2nd ASM hire pending</t>
  </si>
  <si>
    <t>Gujarat IC + coaches team</t>
  </si>
  <si>
    <t>Ms. Lubdha</t>
  </si>
  <si>
    <t>MT – Sales</t>
  </si>
  <si>
    <t>Joined 2 June 2026. Management Trainee — Sales.</t>
  </si>
  <si>
    <t>MP + CG + Vidarbha</t>
  </si>
  <si>
    <t>Vacant Gujarat ASM</t>
  </si>
  <si>
    <t>To hire (HIGH PRIORITY). Sandeep covers directly until filled.</t>
  </si>
  <si>
    <t>HIGH PRIORITY — covers ~₹0.95 L FY26-27 stretch</t>
  </si>
  <si>
    <t xml:space="preserve">  ROSTER SUMMARY</t>
  </si>
  <si>
    <t xml:space="preserve">  • Active personnel</t>
  </si>
  <si>
    <t>Filled now (Ms. Lubdha joined 2 Jun; D. Siva joins 11 Jun = to-join)</t>
  </si>
  <si>
    <t xml:space="preserve">  • Vacant positions</t>
  </si>
  <si>
    <t>Delhi ASM, Gujarat ASM, Kerala ASM, Hyderabad ASM</t>
  </si>
  <si>
    <t xml:space="preserve">  • Total roster</t>
  </si>
  <si>
    <t>Active + to-join + vacant</t>
  </si>
  <si>
    <t xml:space="preserve">  • To join</t>
  </si>
  <si>
    <t>Ranjith (ASE Chennai, 2 Jul) + D. Siva (ASM Hyderabad, 11 Jun)</t>
  </si>
  <si>
    <t>INCENTIVE — ESTHEMAX</t>
  </si>
  <si>
    <t>Esthemax incentive structure: Hydrojelly 6-tier per-box slab (Sales Person) + Sales Manager streams. Source: official Incentive PDFs.</t>
  </si>
  <si>
    <t xml:space="preserve">  C.  ESTHEMAX — Sales Person Tier-Based Incentive Slab</t>
  </si>
  <si>
    <t>Tier</t>
  </si>
  <si>
    <t>Boxes/Month (Min)</t>
  </si>
  <si>
    <t>Boxes/Month (Max)</t>
  </si>
  <si>
    <t>Incentive ₹/Box</t>
  </si>
  <si>
    <t>Tier Label</t>
  </si>
  <si>
    <t>Tier 1</t>
  </si>
  <si>
    <t>Casual add-on</t>
  </si>
  <si>
    <t>Tier 2</t>
  </si>
  <si>
    <t>Doing your share</t>
  </si>
  <si>
    <t>Tier 3</t>
  </si>
  <si>
    <t>Active push</t>
  </si>
  <si>
    <t>Tier 4</t>
  </si>
  <si>
    <t>Strong contributor</t>
  </si>
  <si>
    <t>Tier 5</t>
  </si>
  <si>
    <t>Dedicated</t>
  </si>
  <si>
    <t>Tier 6</t>
  </si>
  <si>
    <t>∞ (cap)</t>
  </si>
  <si>
    <t>Top performer</t>
  </si>
  <si>
    <t>6-tier slab. Threshold = monthly Esthemax box achievement. Incentive applied per box, retrospective to month-1. Cap at 200+ boxes (Tier 6 ₹500/box). No box minimums for HQ — individual rep performance gates the tier.</t>
  </si>
  <si>
    <t xml:space="preserve">  D.  ESTHEMAX — Sales Manager</t>
  </si>
  <si>
    <t>INCENTIVE — CELLUMA</t>
  </si>
  <si>
    <t>Celluma per-model incentive: single Standard (Selling) price and single Std Incentive. Manager = flat 50% of Std Incentive.</t>
  </si>
  <si>
    <t xml:space="preserve">  E.  CELLUMA — Sales Person</t>
  </si>
  <si>
    <t>Model</t>
  </si>
  <si>
    <t>Selling (Std)</t>
  </si>
  <si>
    <t>Std Incentive</t>
  </si>
  <si>
    <t>Celluma Pod (Series 2)</t>
  </si>
  <si>
    <t>Celluma Home (Series 2)</t>
  </si>
  <si>
    <t>Celluma Face (Series 2)</t>
  </si>
  <si>
    <t>Celluma Lite (Series 2)</t>
  </si>
  <si>
    <t>Celluma Sport (Series 2)</t>
  </si>
  <si>
    <t>Celluma Restore (Series 2)</t>
  </si>
  <si>
    <t>Celluma Nova (Series 2)</t>
  </si>
  <si>
    <t>Celluma Pro Plus (Series 2)</t>
  </si>
  <si>
    <t>Additional Elite Wings (2 nos)</t>
  </si>
  <si>
    <t>Celluma Elite Base (Series 2)</t>
  </si>
  <si>
    <t>Celluma Contour System (Series 2)</t>
  </si>
  <si>
    <t>Celluma Delux (Series 2)</t>
  </si>
  <si>
    <t>Celluma Delux XL (Series 2)</t>
  </si>
  <si>
    <t xml:space="preserve">  F.  CELLUMA — Sales Manager (flat 50% of SP Std)</t>
  </si>
  <si>
    <t>INCENTIVE — DEVICES</t>
  </si>
  <si>
    <t>Device per-model incentive: value-slab structure. Standard = Selling price (pricelist + ₹50K FY26-27). Incentive by sale-value band. Sell above standard → +10% of excess (Sales Person only). Below-standard = 70% of Std. Manager = flat 50% of Std.</t>
  </si>
  <si>
    <t xml:space="preserve">  A.  DEVICES — Sales Person Incentive Plan</t>
  </si>
  <si>
    <t>Device</t>
  </si>
  <si>
    <t>Quotation (L)</t>
  </si>
  <si>
    <t>Above-Std Bonus</t>
  </si>
  <si>
    <t>Inno Plus</t>
  </si>
  <si>
    <t>+10% of (sale − Standard)</t>
  </si>
  <si>
    <t>Exofacial</t>
  </si>
  <si>
    <t>Magic Pulse CO2 40W</t>
  </si>
  <si>
    <t>UTIMS A3 HIFU</t>
  </si>
  <si>
    <t>Cellina PR</t>
  </si>
  <si>
    <t>Vossman Blauman Blue Laser</t>
  </si>
  <si>
    <t>Magic Pulse CO2 50W</t>
  </si>
  <si>
    <t>Vossman Compact 810nm</t>
  </si>
  <si>
    <t>Vossman Compact Blend</t>
  </si>
  <si>
    <t>Biaxis QS</t>
  </si>
  <si>
    <t>Polylase ND</t>
  </si>
  <si>
    <t>Biaxis Pico</t>
  </si>
  <si>
    <t xml:space="preserve">  B.  DEVICES — Sales Manager Incentive Plan (flat 50% of SP Std)</t>
  </si>
  <si>
    <t>—</t>
  </si>
  <si>
    <t>DEVICE COST</t>
  </si>
  <si>
    <t>Landing Cost</t>
  </si>
  <si>
    <t>ESTHEMAX COST</t>
  </si>
  <si>
    <t>Variant</t>
  </si>
  <si>
    <t>Pack</t>
  </si>
  <si>
    <t>Standard (Total)</t>
  </si>
  <si>
    <t>MRP</t>
  </si>
  <si>
    <t>Min (EXW)</t>
  </si>
  <si>
    <t xml:space="preserve">  HYDROJELLY MASK (850 ml)</t>
  </si>
  <si>
    <t>Antioxidant Goji</t>
  </si>
  <si>
    <t>850ml</t>
  </si>
  <si>
    <t>Super Greens Strength</t>
  </si>
  <si>
    <t>Brightening Complex</t>
  </si>
  <si>
    <t>Belgium Cacao</t>
  </si>
  <si>
    <t>Egyptian Rose</t>
  </si>
  <si>
    <t>Pure Himalayan White Tea</t>
  </si>
  <si>
    <t>Resilience Caviar</t>
  </si>
  <si>
    <t>Australian Sheep Placenta</t>
  </si>
  <si>
    <t>Re-Newal</t>
  </si>
  <si>
    <t>Radiance Biotin</t>
  </si>
  <si>
    <t>Intensive Aftercare</t>
  </si>
  <si>
    <t>Hyaluronic Acid</t>
  </si>
  <si>
    <t>Beta-Carotene</t>
  </si>
  <si>
    <t>Cica Complex</t>
  </si>
  <si>
    <t>Illuminating Orange</t>
  </si>
  <si>
    <t>Phyto-Nutrients Blast</t>
  </si>
  <si>
    <t>Skin Warrior Ageless</t>
  </si>
  <si>
    <t>Purifying Charcoal</t>
  </si>
  <si>
    <t>Vampire Infusion</t>
  </si>
  <si>
    <t>Spot Diminishing ALA</t>
  </si>
  <si>
    <t>CBD Dope</t>
  </si>
  <si>
    <t>Youthful Elixir</t>
  </si>
  <si>
    <t>All values in ₹ per box, excl. GST. Landing = EXW + 44% customs + transport. Standard (Total) = landing + marketing + profit. MRP = listed retail. Min (EXW) = Primelaze ex-works price. Retail 2-mask boxes &amp; Foot Mask available in source file (not loaded here). No +₹50K uplift (devices only).</t>
  </si>
  <si>
    <t xml:space="preserve">  RETAIL HYDROJELLY (2 masks / box)</t>
  </si>
  <si>
    <t>2 masks/box</t>
  </si>
  <si>
    <t>Phyto Nutrients</t>
  </si>
  <si>
    <t xml:space="preserve">  COLLAGEN FOOT MASK</t>
  </si>
  <si>
    <t>Collagen Foot Mask</t>
  </si>
  <si>
    <t>5 pairs/pack</t>
  </si>
  <si>
    <t>Foot Mask: Total/MRP not defined in source price-structure file — pending (yellow). Marketing/profit margins TBD.</t>
  </si>
  <si>
    <t>CELLUMA COST</t>
  </si>
  <si>
    <t>Celluma price reference (matches Celluma Incentive). Quotation includes +₹50K FY26-27 uplift. Selling = standard customer price.</t>
  </si>
  <si>
    <t>Punjab HQ — North 1 (Punjab + Haryana P1 + J&amp;K + Ladakh + HP + Uttarakhand + Chandigarh)</t>
  </si>
  <si>
    <t>Held by: Kuldeep Singh (ZSM, Chandigarh) + Akshay Jain (ASM, Jalandhar). UPDATED: Kuldeep is pure ZSM — no separate IC target. Combined HQ = Akshay 30 only. Haryana P1 = Rohtak, Hisar, Sikar.</t>
  </si>
  <si>
    <t>FY25-26 Actual</t>
  </si>
  <si>
    <t>FY26-27 Target</t>
  </si>
  <si>
    <t>YoY Stretch</t>
  </si>
  <si>
    <t>16</t>
  </si>
  <si>
    <t>30</t>
  </si>
  <si>
    <t>units</t>
  </si>
  <si>
    <t>Akshay-only</t>
  </si>
  <si>
    <t>priced products only</t>
  </si>
  <si>
    <t>moderate</t>
  </si>
  <si>
    <t xml:space="preserve">  ASM Plan — Akshay Jain (Jalandhar)</t>
  </si>
  <si>
    <t>Product</t>
  </si>
  <si>
    <t>FY25-26</t>
  </si>
  <si>
    <t>FY26-27</t>
  </si>
  <si>
    <t>Demos/Sale</t>
  </si>
  <si>
    <t>Demos Needed</t>
  </si>
  <si>
    <t>Fleet</t>
  </si>
  <si>
    <t>Anchor — was 1, now 8</t>
  </si>
  <si>
    <t>Biaxis Nano</t>
  </si>
  <si>
    <t>Magic Pulse</t>
  </si>
  <si>
    <t>Volume product</t>
  </si>
  <si>
    <t>Steady growth</t>
  </si>
  <si>
    <t>UTIMS</t>
  </si>
  <si>
    <t>Stable</t>
  </si>
  <si>
    <t>Direct</t>
  </si>
  <si>
    <t>None</t>
  </si>
  <si>
    <t>New, direct sell</t>
  </si>
  <si>
    <t>New product line</t>
  </si>
  <si>
    <t>TOTAL</t>
  </si>
  <si>
    <t xml:space="preserve">  ZSM Role — Kuldeep Singh (Chandigarh, pure manager)</t>
  </si>
  <si>
    <t>Kuldeep is the Zonal Sales Manager for North 1 with no separate IC target. He covers the same territory as Akshay in a managerial capacity — joint demos, closing visits, territory expansion (Haryana P1 cities: Rohtak, Hisar, Sikar), and coaching. Celluma allocation: 20 units / yr at zone level (₹40 L) — see Master Dashboard Celluma Plan.</t>
  </si>
  <si>
    <t xml:space="preserve">  Punjab HQ Team Composition</t>
  </si>
  <si>
    <t>Held By</t>
  </si>
  <si>
    <t>Coverage Focus</t>
  </si>
  <si>
    <t>ZSM</t>
  </si>
  <si>
    <t>0 IC (managerial)</t>
  </si>
  <si>
    <t>Zone-wide coverage; Haryana P1 (Rohtak, Hisar, Sikar)</t>
  </si>
  <si>
    <t>ASM</t>
  </si>
  <si>
    <t>Punjab, J&amp;K, Ladakh, HP, Uttarakhand, Chandigarh, Haryana P1 backup</t>
  </si>
  <si>
    <t>HQ TOTAL</t>
  </si>
  <si>
    <t xml:space="preserve">  Plan Highlights</t>
  </si>
  <si>
    <t>📊 Punjab HQ FY26-27: 30 machines / ₹6.66 Cr — Akshay IC only. Kuldeep ZSM (no separate IC).</t>
  </si>
  <si>
    <t>💎 Largest bets: Cellina PR 8 (+700%), Biaxis Nano 8 (+700%), Magic Pulse 7 (+250%).</t>
  </si>
  <si>
    <t>💰 Biaxis Nano 8 × ₹38 L = ₹3.04 Cr. Biggest std value contribution at almost half the plan.</t>
  </si>
  <si>
    <t>🆕 New for Akshay: Polylase ND, Blauman. Each at 1 unit.</t>
  </si>
  <si>
    <t>🎯 Total demos: 104. Heavy demo load on demo-required products (102 + 2 direct).</t>
  </si>
  <si>
    <t>👥 Kuldeep ZSM joint visits + coaching for all of Akshay's territory; no separate sales target.</t>
  </si>
  <si>
    <t>🗺 Haryana split clarified: Kuldeep takes Rohtak, Hisar, Sikar; Ambika (Delhi) takes Bahadurgarh, Rewari, Faridabad, Gurgaon, Panipat.</t>
  </si>
  <si>
    <t xml:space="preserve">  CELLUMA TARGET (explicit) — FY 2026-27</t>
  </si>
  <si>
    <t>Basis</t>
  </si>
  <si>
    <t>Celluma units</t>
  </si>
  <si>
    <t>Rule: 1 Celluma / IC / month (12/yr). Manager carries rollup of direct reportees and covers any vacant slot at 1/mo until filled. New joinees start 3 months after joining. Akshay 12/yr (1/mo). Kuldeep ZSM = team rollup, no separate IC. Quarterly basis: 25% each.</t>
  </si>
  <si>
    <t>Delhi HQ — North 2 (Delhi NCT + UP + Rajasthan + Haryana P2 + Bihar)</t>
  </si>
  <si>
    <t>Currently held by: Ambika Anand (ZSM, reports to Arjun). Direct report: Ramandeep (Kolkata HQ). Note: Bihar moved from East to North 2. Haryana split — Ambika covers Bahadurgarh, Rewari, Faridabad, Gurgaon, Panipat only.</t>
  </si>
  <si>
    <t>20</t>
  </si>
  <si>
    <t>26</t>
  </si>
  <si>
    <t>1.3x</t>
  </si>
  <si>
    <t>+ Celluma TBD</t>
  </si>
  <si>
    <t>most comfortable</t>
  </si>
  <si>
    <t xml:space="preserve">  Product Plan with Demo Requirements</t>
  </si>
  <si>
    <t>Was 7 → 8. Flagship continues.</t>
  </si>
  <si>
    <t>Includes legacy 40W (3 units FY25-26). Refresh.</t>
  </si>
  <si>
    <t>Was 2 → 4. Low-ticket volume push.</t>
  </si>
  <si>
    <t>Slight reduction. Highest-value product.</t>
  </si>
  <si>
    <t>New product line for Ambika.</t>
  </si>
  <si>
    <t>Was 1 → 2. Steady growth.</t>
  </si>
  <si>
    <t>New for Ambika. Direct sell.</t>
  </si>
  <si>
    <t>BiAxis Pico</t>
  </si>
  <si>
    <t>Unchanged. Direct sell.</t>
  </si>
  <si>
    <t>Celluma (TBD)</t>
  </si>
  <si>
    <t>TBD</t>
  </si>
  <si>
    <t>Pending price + ratio decision.</t>
  </si>
  <si>
    <t xml:space="preserve">  Lead Funnel — UP / Delhi NCR / Rajasthan / Bihar</t>
  </si>
  <si>
    <t>Funnel Stage</t>
  </si>
  <si>
    <t>Value</t>
  </si>
  <si>
    <t>BIGIN old leads (total)</t>
  </si>
  <si>
    <t>Historical pool from territory</t>
  </si>
  <si>
    <t>Active working leads (from old)</t>
  </si>
  <si>
    <t>Qualified subset</t>
  </si>
  <si>
    <t>New leads to generate FY26-27</t>
  </si>
  <si>
    <t>Net-new prospecting</t>
  </si>
  <si>
    <t>Total active lead pool</t>
  </si>
  <si>
    <t>Working pool for FY26-27</t>
  </si>
  <si>
    <t>Demos to deliver</t>
  </si>
  <si>
    <t>Sum from product table above</t>
  </si>
  <si>
    <t>Lead → Demo conversion</t>
  </si>
  <si>
    <t>33.3%</t>
  </si>
  <si>
    <t>% of active that demo</t>
  </si>
  <si>
    <t>Sales target (excl. Celluma)</t>
  </si>
  <si>
    <t>Annual machine target</t>
  </si>
  <si>
    <t>Demo → Sale conversion</t>
  </si>
  <si>
    <t>32.5%</t>
  </si>
  <si>
    <t>Demos that close</t>
  </si>
  <si>
    <t>Lead → Sale conversion</t>
  </si>
  <si>
    <t>10.8%</t>
  </si>
  <si>
    <t>End-to-end funnel</t>
  </si>
  <si>
    <t>Avg leads per machine sold</t>
  </si>
  <si>
    <t>Pipeline efficiency</t>
  </si>
  <si>
    <t>💎 Biaxis Nano 3 × ₹38 L = ₹1.14 Cr. Highest-value line.</t>
  </si>
  <si>
    <t>💎 Cellina PR 8 × ₹14 L = ₹1.12 Cr. Flagship by volume.</t>
  </si>
  <si>
    <t>💰 BiAxis Pico 1 × ₹82 L = ₹0.82 Cr. High-ticket, direct sell.</t>
  </si>
  <si>
    <t>💰 Polylase ND 2 × ₹60 L = ₹1.20 Cr. New product line, direct sell.</t>
  </si>
  <si>
    <t>🎯 Demo plan: 80 demos for 23 demo-required sales (3 are direct). Avg 3.5 demos/sale.</t>
  </si>
  <si>
    <t>📞 Lead funnel: 240 active → 80 demos (33%) → 26 sales (32% close). 10.8% end-to-end.</t>
  </si>
  <si>
    <t>⚠ 700 → 150 active suggests heavy lead-pool decay. The 90 new leads are critical.</t>
  </si>
  <si>
    <t>📅 Default phasing: March = 37% (per FY25-26 company curve). ~9.6 closures in March.</t>
  </si>
  <si>
    <t>⚠ Shared demo fleet — coordinate with Sushma / Vamshi for Cellina/Biaxis/Magic Pulse demo slots.</t>
  </si>
  <si>
    <t>Rule: 1 Celluma / IC / month (12/yr). Manager carries rollup of direct reportees and covers any vacant slot at 1/mo until filled. New joinees start 3 months after joining. Ambika 12/yr (covers vacant Delhi ASM at 1/mo until filled). Quarterly basis: 25% each.</t>
  </si>
  <si>
    <t>Kolkata HQ — East Zone (WB + NE states + Jharkhand)</t>
  </si>
  <si>
    <t>Held by: Ramandeep Kaur (ASM). Reports to Ambika Anand (Delhi HQ). Bihar moved from East to North 2 (Delhi zone). Ambika visits 5 days/month alternating Kolkata city / rest of East zone.</t>
  </si>
  <si>
    <t>5</t>
  </si>
  <si>
    <t>3.2x</t>
  </si>
  <si>
    <t>high — watch</t>
  </si>
  <si>
    <t xml:space="preserve">  Travel Allocation — 25 Working Days/Month</t>
  </si>
  <si>
    <t>City / Region</t>
  </si>
  <si>
    <t>State</t>
  </si>
  <si>
    <t>Days/Mo</t>
  </si>
  <si>
    <t>Days/Yr</t>
  </si>
  <si>
    <t>% Time</t>
  </si>
  <si>
    <t>Ambika Co-visit</t>
  </si>
  <si>
    <t>West Bengal</t>
  </si>
  <si>
    <t>32%</t>
  </si>
  <si>
    <t>Yes — Month A</t>
  </si>
  <si>
    <t>Anchor city. Joint demos w/ Ambika alternate months.</t>
  </si>
  <si>
    <t>Ranchi</t>
  </si>
  <si>
    <t>Jharkhand</t>
  </si>
  <si>
    <t>8%</t>
  </si>
  <si>
    <t>Possible — Month B</t>
  </si>
  <si>
    <t>Largest Jharkhand market.</t>
  </si>
  <si>
    <t>Asansol / Durgapur</t>
  </si>
  <si>
    <t>WB</t>
  </si>
  <si>
    <t>Tier-2 WB hubs.</t>
  </si>
  <si>
    <t>Guwahati</t>
  </si>
  <si>
    <t>Assam</t>
  </si>
  <si>
    <t>NE entry point.</t>
  </si>
  <si>
    <t>Dhanbad</t>
  </si>
  <si>
    <t>4%</t>
  </si>
  <si>
    <t>Possible</t>
  </si>
  <si>
    <t>Jamshedpur</t>
  </si>
  <si>
    <t>Industrial hub.</t>
  </si>
  <si>
    <t>Agartala</t>
  </si>
  <si>
    <t>Tripura</t>
  </si>
  <si>
    <t>NE state.</t>
  </si>
  <si>
    <t>Hooghly</t>
  </si>
  <si>
    <t>No</t>
  </si>
  <si>
    <t>Day-trip from Kolkata.</t>
  </si>
  <si>
    <t>Flexible (rep choice)</t>
  </si>
  <si>
    <t>East zone</t>
  </si>
  <si>
    <t>28%</t>
  </si>
  <si>
    <t>Leads-driven, rep discretion.</t>
  </si>
  <si>
    <t>5 days/mo Ambika cross-coverage</t>
  </si>
  <si>
    <t>📊 FY25-26 = 5 units; FY26-27 target = 16. 3.2x stretch — second-highest after Vijayawada.</t>
  </si>
  <si>
    <t>💎 Anchor: Cellina PR 4 units carried steady. Magic Pulse 4 is NEW (was 0 last year).</t>
  </si>
  <si>
    <t>🆕 Six new product lines: Magic Pulse, Vossman, UTIMS, Blauman, Exofacial — first year on each.</t>
  </si>
  <si>
    <t>🎯 Total demos: 56. Heavy load relative to 16 units (3.5x average).</t>
  </si>
  <si>
    <t>🚨 Bihar moved OUT of this HQ to North 2 (Delhi zone). Coverage narrows to WB + NE + Jharkhand.</t>
  </si>
  <si>
    <t>👥 Ambika 5 days/month coaching — alternating Kolkata city / rest of East zone. Critical for ramp.</t>
  </si>
  <si>
    <t>📞 Lead funnel data pending from Ramandeep.</t>
  </si>
  <si>
    <t>Rule: 1 Celluma / IC / month (12/yr). Manager carries rollup of direct reportees and covers any vacant slot at 1/mo until filled. New joinees start 3 months after joining. Ramandeep 12/yr (1/mo). Quarterly basis: 25% each.</t>
  </si>
  <si>
    <t>Chennai HQ — South Zone (Tamil Nadu)</t>
  </si>
  <si>
    <t>Held by: Harani S (RSM). Vacant ASM hire pending. Coverage: Tamil Nadu (solo). Celluma allocated at HQ level (20 Celluma units/yr).</t>
  </si>
  <si>
    <t>51</t>
  </si>
  <si>
    <t>1.8x</t>
  </si>
  <si>
    <t>machines</t>
  </si>
  <si>
    <t>manageable solo</t>
  </si>
  <si>
    <t xml:space="preserve">  Product Plan with Demo Requirements (Harani — Tamil Nadu)</t>
  </si>
  <si>
    <t>Anchor product</t>
  </si>
  <si>
    <t>Largest growth bet</t>
  </si>
  <si>
    <t>Strong category, ₹38 L</t>
  </si>
  <si>
    <t>4x growth</t>
  </si>
  <si>
    <t>4 demo days/sale</t>
  </si>
  <si>
    <t>Direct sell</t>
  </si>
  <si>
    <t xml:space="preserve">  Stream Targets at HQ Level</t>
  </si>
  <si>
    <t>Per Month</t>
  </si>
  <si>
    <t>Per Year</t>
  </si>
  <si>
    <t>Value (INR)</t>
  </si>
  <si>
    <t>Devices (priced)</t>
  </si>
  <si>
    <t>~4.3</t>
  </si>
  <si>
    <t>Spread across 10 products above</t>
  </si>
  <si>
    <t>10-month window (Sep 26 – Jun 27 approx)</t>
  </si>
  <si>
    <t>HQ TOTAL Revenue</t>
  </si>
  <si>
    <t>💎 Biaxis Nano 8 × ₹38 L = ₹3.04 Cr. Vossman 12 × ₹26 L = ₹3.12 Cr. Top-2 std value drivers.</t>
  </si>
  <si>
    <t>⚡ Demo load: 121 demo days/year for Harani solo. Heavy.</t>
  </si>
  <si>
    <t>👥 Vacant ASM hire urgent — current per-person load is 51 (highest in company).</t>
  </si>
  <si>
    <t>⚠ Tamil Nadu = 28% of company FY25-26 actuals. Cannot afford under-delivery here.</t>
  </si>
  <si>
    <t>🔴 Celluma price + ratio TBD company-wide. HQ commit = 20 units/yr.</t>
  </si>
  <si>
    <t>Rule: 1 Celluma / IC / month (12/yr). Manager carries rollup of direct reportees and covers any vacant slot at 1/mo until filled. New joinees start 3 months after joining. Harani 12 + Ranjith 6 (ASE joins 2 Jul, targets start +3mo) = 18/yr. Quarterly basis: 25% each.</t>
  </si>
  <si>
    <t>Bengaluru HQ — South Zone (Karnataka)</t>
  </si>
  <si>
    <t>Held by: Sushma S (ASM, joined Dec 2025). Reports to Arjun Sharma. FY25-26 partial-year (4 months) = 5 units. Coached by Sandeep (Mumbai ZSM) — visits 2 days/month.</t>
  </si>
  <si>
    <t>10</t>
  </si>
  <si>
    <t>17</t>
  </si>
  <si>
    <t>1.7x</t>
  </si>
  <si>
    <t>5 in Sushma's tenure</t>
  </si>
  <si>
    <t>reasonable</t>
  </si>
  <si>
    <t>Anchor. Higher 4:1 ratio (newer-rep premium).</t>
  </si>
  <si>
    <t>Stable. Heavy seeding for ₹38 L premium.</t>
  </si>
  <si>
    <t>New. Technical sell.</t>
  </si>
  <si>
    <t>New product line.</t>
  </si>
  <si>
    <t>New. Heavy seeding.</t>
  </si>
  <si>
    <t>New. Same seeding as UTIMS.</t>
  </si>
  <si>
    <t>Known prospect likely.</t>
  </si>
  <si>
    <t>Steady. Direct sell.</t>
  </si>
  <si>
    <t>INNO PLUS</t>
  </si>
  <si>
    <t>Direct sell.</t>
  </si>
  <si>
    <t>📊 Sushma joined Dec 2025. Partial-year 5 units → annualized ~15. FY26-27 = 17 = 1.1x annualized.</t>
  </si>
  <si>
    <t>💎 Cellina PR 5 × ₹14 L = ₹0.70 Cr. Anchor — she has FY25-26 history (sold 2).</t>
  </si>
  <si>
    <t>💎 Biaxis Nano 2 × ₹38 L = ₹0.76 Cr. Highest std value, continues from FY25-26.</t>
  </si>
  <si>
    <t>🆕 Six new product lines: Magic Pulse, Vossman, UTIMS, Blauman, Exofacial, INNO PLUS.</t>
  </si>
  <si>
    <t>🎯 Total demos: 63. All joint with Sandeep (her ZSM coach). ~1.2 demos/week of Sandeep's time.</t>
  </si>
  <si>
    <t>📊 Demo ratios HIGHER than experienced reps (Cellina 4 vs 3, Biaxis 5 vs 4) — newer-rep premium.</t>
  </si>
  <si>
    <t>⚠ Demo fleet contention with Ambika/Vamshi on shared Cellina/Biaxis/Magic Pulse machines.</t>
  </si>
  <si>
    <t>📞 Lead funnel pending from Sushma.</t>
  </si>
  <si>
    <t>Rule: 1 Celluma / IC / month (12/yr). Manager carries rollup of direct reportees and covers any vacant slot at 1/mo until filled. New joinees start 3 months after joining. Sushma 12/yr (1/mo). Quarterly basis: 25% each.</t>
  </si>
  <si>
    <t>Kochi HQ — South Zone (Kerala)</t>
  </si>
  <si>
    <t>Team: Vacant ASM. Kerala launch deferred until ASM hire. All targets empty — placeholder HQ for FY26-27.</t>
  </si>
  <si>
    <t>FY26-27 Devices</t>
  </si>
  <si>
    <t>no presence</t>
  </si>
  <si>
    <t>TBD — pending hire</t>
  </si>
  <si>
    <t xml:space="preserve">  Status</t>
  </si>
  <si>
    <t>Kochi HQ is a planned position for Kerala coverage. ASM hire pending. No targets allocated for FY26-27 until hire is confirmed and ramp-up timeline is set.</t>
  </si>
  <si>
    <t>🚧 Kerala launch deferred. ASM hire is gating event.</t>
  </si>
  <si>
    <t>🎯 When hire closes, expect half-year ramp (50% of full-year targets).</t>
  </si>
  <si>
    <t>📋 Provisional plan: Devices 6–10 units. Celluma TBD.</t>
  </si>
  <si>
    <t>⏰ Target launch window: late FY26-27 or early FY27-28.</t>
  </si>
  <si>
    <t>Vijayawada HQ — South Zone (Andhra Pradesh)</t>
  </si>
  <si>
    <t>Held by: Vamshi Krishna (ASM). Reports to Arjun. DEMO DEPENDENCY: Vamshi handles Cellina (non-subcision) + Vossman + Celluma. Ibrahim (Hyderabad) covers Biaxis, Magic Pulse, UTIMS, Exofacial demos + subcision Cellina.</t>
  </si>
  <si>
    <t>8</t>
  </si>
  <si>
    <t>23</t>
  </si>
  <si>
    <t>2.9x</t>
  </si>
  <si>
    <t>high</t>
  </si>
  <si>
    <t>Anchor.</t>
  </si>
  <si>
    <t>New.</t>
  </si>
  <si>
    <t>Ibrahim demo.</t>
  </si>
  <si>
    <t>Ibrahim demo. ₹38L premium.</t>
  </si>
  <si>
    <t xml:space="preserve">  Demo Responsibility — Vamshi vs Ibrahim</t>
  </si>
  <si>
    <t>Demos</t>
  </si>
  <si>
    <t>Demo Lead</t>
  </si>
  <si>
    <t>Vamshi</t>
  </si>
  <si>
    <t>General use cases. Subcision → Ibrahim.</t>
  </si>
  <si>
    <t>Vamshi handles all.</t>
  </si>
  <si>
    <t>Ratio TBD company-wide.</t>
  </si>
  <si>
    <t>Travel from Hyderabad.</t>
  </si>
  <si>
    <t>Includes any subcision use cases.</t>
  </si>
  <si>
    <t>N/A</t>
  </si>
  <si>
    <t>Direct sell — no demo.</t>
  </si>
  <si>
    <t>Vamshi-led: 22 demos (+ Celluma TBD) | Ibrahim-led: 24 demos</t>
  </si>
  <si>
    <t>⚠ DEMO COORDINATION IS THE KEY RISK: Vamshi 22 demos (48%), Ibrahim 24 demos (52%) — travel from Hyderabad.</t>
  </si>
  <si>
    <t>⚠ Subcision Cellina → Ibrahim, general Cellina → Vamshi. Operational complexity.</t>
  </si>
  <si>
    <t>💎 Cellina PR 6 (was 2, 3x growth). Magic Pulse 5 (was 4). Vossman 5 (NEW).</t>
  </si>
  <si>
    <t>⚡ Tight 2:1 demo ratios across most products. AP is relationship-driven.</t>
  </si>
  <si>
    <t>🎯 Total demos (priced): 46 (22 Vamshi + 24 Ibrahim).</t>
  </si>
  <si>
    <t>🗺 9 cities: Vijayawada 6 + Guntur 5 + Vizag 4 = 15 days in 3 anchor cities (58%).</t>
  </si>
  <si>
    <t>🔴 Celluma demo + price TBD — affects scope split with Ibrahim.</t>
  </si>
  <si>
    <t>Rule: 1 Celluma / IC / month (12/yr). Manager carries rollup of direct reportees and covers any vacant slot at 1/mo until filled. New joinees start 3 months after joining. Vamshi 12/yr (1/mo). Quarterly basis: 25% each.</t>
  </si>
  <si>
    <t>Hyderabad HQ — South Zone (Telangana)</t>
  </si>
  <si>
    <t>Team: Vacant ASM (role now vacant) + Ibrahim (SE demo support) + Vacant ASM 2. Device target TBD pending ASM hire. Celluma at HQ-level baseline.</t>
  </si>
  <si>
    <t>2/mo</t>
  </si>
  <si>
    <t>no rep history</t>
  </si>
  <si>
    <t>pending ASM hire</t>
  </si>
  <si>
    <t>300 boxes / ₹20.7 L</t>
  </si>
  <si>
    <t>20 units/yr / ₹40 L</t>
  </si>
  <si>
    <t xml:space="preserve">  Hyderabad HQ Team Composition</t>
  </si>
  <si>
    <t>Combined 20/yr</t>
  </si>
  <si>
    <t>role now vacant; hire pending</t>
  </si>
  <si>
    <t>0 (demo support only)</t>
  </si>
  <si>
    <t>Covers AP/TG demos incl. Vamshi territory</t>
  </si>
  <si>
    <t>Vacant Hyderabad ASM 2</t>
  </si>
  <si>
    <t>Second vacant slot — hire pending</t>
  </si>
  <si>
    <t>20/yr</t>
  </si>
  <si>
    <t>Celluma allocated at HQ level — split when reps confirmed</t>
  </si>
  <si>
    <t xml:space="preserve">  Product Plan — Pending ASM Hire</t>
  </si>
  <si>
    <t>Per-product device mix will be planned once ASM joins. Provisional Telangana coverage handled by Ibrahim as demo support. Once hire completes, expect ~8–12 devices in FY26-27 (new joinee ramp).</t>
  </si>
  <si>
    <t>📊 Hyderabad HQ FY26-27: Device target TBD pending ASM hire. Celluma 2/mo baseline at HQ level.</t>
  </si>
  <si>
    <t>👤 role replaced with Vacant ASM — hire decision pending.</t>
  </si>
  <si>
    <t>🛠 Ibrahim continues as demo support (no IC device target). Covers AP/TG demos for Vamshi too.</t>
  </si>
  <si>
    <t>⚠ Two vacant ASM slots — bandwidth constrained until at least one fills.</t>
  </si>
  <si>
    <t>🎯 Once ASM hires close, redistribute Celluma across reps proportionally.</t>
  </si>
  <si>
    <t>Mumbai HQ — West + Central (MH + Goa + Gujarat + MP + Chhattisgarh + Vidarbha)</t>
  </si>
  <si>
    <t>Held by: Sandeep Kukadiya (ZSM) + Naresh Chaudhary (ASM West MH) + Bimal Kumar (ASM MP+CG+Vidarbha, Indore). direct by Sandeep (no SE). Sandeep also coaches Sushma (Bengaluru).</t>
  </si>
  <si>
    <t>27</t>
  </si>
  <si>
    <t>66</t>
  </si>
  <si>
    <t>2.4x</t>
  </si>
  <si>
    <t>Mumbai 17 + Indore 10</t>
  </si>
  <si>
    <t>zonal total</t>
  </si>
  <si>
    <t>credible</t>
  </si>
  <si>
    <t xml:space="preserve">  Team Composition — Sandeep's Zonal Span</t>
  </si>
  <si>
    <t>Territory</t>
  </si>
  <si>
    <t>% of Span</t>
  </si>
  <si>
    <t>ZSM (own IC)</t>
  </si>
  <si>
    <t>Mumbai W.MH</t>
  </si>
  <si>
    <t>15.2%</t>
  </si>
  <si>
    <t>ASM (direct)</t>
  </si>
  <si>
    <t>43.9%</t>
  </si>
  <si>
    <t>MP + CG + Vidarbha (East MH)</t>
  </si>
  <si>
    <t>40.9%</t>
  </si>
  <si>
    <t>ASM (vacant)</t>
  </si>
  <si>
    <t>Absorbed</t>
  </si>
  <si>
    <t>Gujarat</t>
  </si>
  <si>
    <t>No SE — Sandeep direct coverage</t>
  </si>
  <si>
    <t>ZONAL TOTAL</t>
  </si>
  <si>
    <t>100%</t>
  </si>
  <si>
    <t xml:space="preserve">  ZSM IC Plan — Sandeep (W.MH + Gujarat direct)</t>
  </si>
  <si>
    <t>40W legacy phasing out.</t>
  </si>
  <si>
    <t>New, ₹38L.</t>
  </si>
  <si>
    <t xml:space="preserve">  ASM Plan — Naresh (West Maharashtra + Goa)</t>
  </si>
  <si>
    <t>Anchor. 2:1 ratio — also INNO PLUS demo.</t>
  </si>
  <si>
    <t>New for Naresh.</t>
  </si>
  <si>
    <t>Tight 2:1 — known prospect.</t>
  </si>
  <si>
    <t>Uses Cellina demo.</t>
  </si>
  <si>
    <t xml:space="preserve">  ASM Plan — Bimal (MP + Chhattisgarh + Vidarbha, Indore base)</t>
  </si>
  <si>
    <t>Anchor. Tightest 1.5:1.</t>
  </si>
  <si>
    <t>New. Largest std value.</t>
  </si>
  <si>
    <t>New for Bimal.</t>
  </si>
  <si>
    <t xml:space="preserve">  Mumbai HQ Plan Highlights</t>
  </si>
  <si>
    <t>🏙 MUMBAI STRATEGIC ANCHOR: Naresh 13 days/mo + ZSM 8 days/mo = 21 days in Mumbai. Target 50%+ of W.MH from Mumbai.</t>
  </si>
  <si>
    <t>⏱ ZSM time: 25 days/mo. 13 Naresh territory (8 Mumbai + 5 W.MH) + 5 Bimal Nagpur + 5 Gujarat (Ahmedabad 3 + Surat 2) + 2 Sushma Bangalore.</t>
  </si>
  <si>
    <t>⚡ Demo ratios tight: Naresh Cellina 2:1, Bimal Cellina 1.5:1, Bimal Biaxis 1:1.</t>
  </si>
  <si>
    <t>🎯 Combined zonal demos: ZSM 31 + Naresh 72 + Bimal 44 = 147.</t>
  </si>
  <si>
    <t>⚠ ZSM coaching: 63 confirmed joint demos with Sushma + 147 zonal own = 210 total touchpoints.</t>
  </si>
  <si>
    <t>🆕 Vidarbha NEW for Bimal (6 days/mo of 23). Was previously Naresh — now W.MH only.</t>
  </si>
  <si>
    <t>🔴 URGENT: Gujarat sales hire pending. ZSM solo coverage.</t>
  </si>
  <si>
    <t>🔴 NEEDED: Service person for Gujarat. Risk to post-sale support.</t>
  </si>
  <si>
    <t>⚠ Demo fleet contention: Cellina 12+18+15 = 45 demos on 2 machines, Biaxis 4+12+3 = 19 on 1 machine.</t>
  </si>
  <si>
    <t>Rule: 1 Celluma / IC / month (12/yr). Manager carries rollup of direct reportees and covers any vacant slot at 1/mo until filled. New joinees start 3 months after joining. Naresh 12 + Bimal 12 + Sandeep 12 (covers vacant Gujarat ASM) = 36/yr. Quarterly basis: 25% each.</t>
  </si>
  <si>
    <t>INCENTIVE TERMS &amp; CONDITIONS — FY 2026-27</t>
  </si>
  <si>
    <t>Reference annexure for all incentive schemes (Devices, Celluma, Esthemax). Read alongside the Device/Celluma/Esthemax Incentive tabs.</t>
  </si>
  <si>
    <t xml:space="preserve">  1. GENERAL PRINCIPLES</t>
  </si>
  <si>
    <t>Standard price</t>
  </si>
  <si>
    <t>Minimum price</t>
  </si>
  <si>
    <t>GST</t>
  </si>
  <si>
    <t>Eligibility</t>
  </si>
  <si>
    <t>Incentive paid only on fully-booked, payment-received deals per the payout schedule below.</t>
  </si>
  <si>
    <t xml:space="preserve">  2. DEVICES</t>
  </si>
  <si>
    <t>Std incentive (by value band)</t>
  </si>
  <si>
    <t>Above standard</t>
  </si>
  <si>
    <t>Sold above Standard → Std incentive + 10% of the amount above Standard. Sales Person only (not manager).</t>
  </si>
  <si>
    <t>Below standard</t>
  </si>
  <si>
    <t>Sold between Minimum and Standard → 70% of Std incentive. Below Minimum → approval required, not eligible.</t>
  </si>
  <si>
    <t>Manager</t>
  </si>
  <si>
    <t>Flat 50% of Std incentive on reportee sales. No 10% upside. If manager sells directly (e.g. covering a vacant territory) → full Sales Person rates. No double-dipping.</t>
  </si>
  <si>
    <t>Quarterly bonus</t>
  </si>
  <si>
    <t xml:space="preserve">  3. CELLUMA</t>
  </si>
  <si>
    <t>Std + 10% of amount above Standard. Sales Person only.</t>
  </si>
  <si>
    <t>Buffer / Minimum</t>
  </si>
  <si>
    <t>Flat 50% of Std. No upside. Direct sale → full SP rates.</t>
  </si>
  <si>
    <t>Targets</t>
  </si>
  <si>
    <t xml:space="preserve">  4. ESTHEMAX</t>
  </si>
  <si>
    <t>Sales Person slab</t>
  </si>
  <si>
    <t>6-tier per-box: T1 10–24 ₹150 | T2 25–49 ₹250 | T3 50–74 ₹300 | T4 75–99 ₹350 | T5 100–199 ₹400 | T6 200+ ₹500. Retrospective to box 1; tier gated by monthly box achievement.</t>
  </si>
  <si>
    <t xml:space="preserve">  5. PAYOUT &amp; TIMING</t>
  </si>
  <si>
    <t>50% on 10%+ advance; 50% on full payment.</t>
  </si>
  <si>
    <t>70% confirmed after full receipt; 30% confirmed only if next-quarter ≥50% achieved.</t>
  </si>
  <si>
    <t>Documentation</t>
  </si>
  <si>
    <t>All claims require deal docs (invoice, payment proof). Disputes escalated to Arjun.</t>
  </si>
  <si>
    <t xml:space="preserve">  C.  ESTHEMAX — Sales Manager Tier-Based Incentive Slab</t>
  </si>
  <si>
    <t>Direct Sales Slab (same 6-tier slab as Sales Person on own direct sales). No double-dipping: when manager sells direct, they earn Sales Person slab — not manager.</t>
  </si>
  <si>
    <t>Payment Terms: (applicable to both sales person and manager)</t>
  </si>
  <si>
    <t>1. Full incentives if the payment received within 45 days.</t>
  </si>
  <si>
    <t xml:space="preserve">2. Half (50%) incentive amount if the payment received within 60 days. </t>
  </si>
  <si>
    <t xml:space="preserve">3. No incentives if the payment is received after 60 days. </t>
  </si>
  <si>
    <t xml:space="preserve">4. Incentives will be released only after full payment receipt. </t>
  </si>
  <si>
    <t>Salesperson Incentives</t>
  </si>
  <si>
    <t>Selling Price (excl. GST)</t>
  </si>
  <si>
    <t>Sales Manager Incentives</t>
  </si>
  <si>
    <t>Product Incentives</t>
  </si>
  <si>
    <t>1. Employee needs to be there on company payroll at the time of disbursment.</t>
  </si>
  <si>
    <t>3. Machines sold at less than Minimum eligible product cost will not be eligible for incentives.</t>
  </si>
  <si>
    <t>4. Standard terms are upto 6 months. Incentives for machines sold at more than 6 months terms are at management's discretion</t>
  </si>
  <si>
    <t>5. Maximum 1 month delay over and above MOU terms will be considered for product incentives. Employee will not be eligible for product incentives if there is more than 1  months delay in payment.</t>
  </si>
  <si>
    <t xml:space="preserve">6. For every HO sale (Arjun &amp; Dhinesh's direct sale), employee will be eligible for INR 5,000 product incentives. </t>
  </si>
  <si>
    <t>TERMS &amp; CONDITIONS</t>
  </si>
  <si>
    <t>2. Incentives will be disbursed as follows,
 A. 50% amount after receipt of minimum 10% advance amount
 B. Remaining 50% incentive amount after 100% receipt of the payment.</t>
  </si>
  <si>
    <t>*Quotation values are excluding GST. 
Minimum sales values are inclusive of GST.</t>
  </si>
  <si>
    <t xml:space="preserve">6. For every HO sale (Arjun &amp; Dhinesh's direct sale), sales person will be eligible for INR 2,500 product incentives. </t>
  </si>
  <si>
    <t>Standard Selling Price (L)</t>
  </si>
  <si>
    <t>Minimum Selling Price (L)</t>
  </si>
  <si>
    <t>Minimum Incentives</t>
  </si>
  <si>
    <t xml:space="preserve">Device Value </t>
  </si>
  <si>
    <t>Vossman Blauman</t>
  </si>
  <si>
    <t>Total Value (L)</t>
  </si>
  <si>
    <t>Std Value (L)</t>
  </si>
  <si>
    <t>30 / ₹7.15 Cr</t>
  </si>
  <si>
    <t>📊 Target 26 machines (+ Celluma TBD). Std value ₹6.48 Cr. Up from 20 units / ₹4.40 Cr FY25-26.</t>
  </si>
  <si>
    <t>📊 Chennai HQ FY26-27: 51 devices / ₹11.57 Cr + Celluma. Highest std value HQ in the company.</t>
  </si>
  <si>
    <t>📊 Vijayawada HQ FY26-27: 23 units / ₹5.18 Cr (+ Celluma TBD). 2.9x stretch — second-highest after Kolkata.</t>
  </si>
  <si>
    <t>📊 Mumbai HQ Zone FY26-27: 66 units / ₹15.12 Cr — ZSM 10 + Naresh 29 + Bimal 27. direct (no separate IC).</t>
  </si>
  <si>
    <t>6-tier per-box: T1 10–24 ₹75 | T2 25–49 ₹125 | T3 50–74 ₹150 | T4 75–99 ₹175 | T5 100–199 ₹200 | T6 200+ ₹250. Retrospective to box 1; tier gated by monthly box achievement.</t>
  </si>
  <si>
    <t>No minimum. Only 1 pricing</t>
  </si>
  <si>
    <t xml:space="preserve">7. NO 10% above-standard upside for Sales Manager. </t>
  </si>
  <si>
    <t>Quarterly Incentives</t>
  </si>
  <si>
    <t>2. Employee needs to complete mimimum 80 days in the quarter to be eligible for quarterly incentives. (Applicable to the new employee).</t>
  </si>
  <si>
    <t>3. No incentives for less than 75% achievement of both unit &amp; value</t>
  </si>
  <si>
    <t>4. Incentives will be disbursed as follows,
A. 70% incentives are confirmed and shall be disbursed after 100% payment receipt
B. Remaining 30% incentive amount will be confirmed  and disbursed only if employee achieves minimum 50% of next quarter target.</t>
  </si>
  <si>
    <t xml:space="preserve">5. Additional INR 20,000 incentives for above 105% quaerterly achievement </t>
  </si>
  <si>
    <t>Quarterly Incentives @100% Achievement
(in INR)</t>
  </si>
  <si>
    <t>Quarterly Incentives @85-100% Achievement
(in INR)</t>
  </si>
  <si>
    <t>Quarterly Incentives @75-85% Achievement
(in INR)</t>
  </si>
  <si>
    <t>QUARTERLY TARGET— FY 2026-27</t>
  </si>
  <si>
    <t>Value in Lakhs (INR)</t>
  </si>
  <si>
    <t>Quotation Price 
(in Lakhs)</t>
  </si>
  <si>
    <t>Standard Selling Price 
(in Lakhs)</t>
  </si>
  <si>
    <t>Minimum Selling Price 
(in Lakhs)</t>
  </si>
  <si>
    <t xml:space="preserve">Note: All values are excluding GST. </t>
  </si>
  <si>
    <t>Quotation Price
(INR)</t>
  </si>
  <si>
    <t>Selling Price
(INR)</t>
  </si>
  <si>
    <t>Terms &amp; Conditions:</t>
  </si>
  <si>
    <t>New MRP</t>
  </si>
  <si>
    <t>Erbium glass</t>
  </si>
  <si>
    <t>2x</t>
  </si>
  <si>
    <t>Erbium Glass</t>
  </si>
  <si>
    <t>"Standard" = the Selling price (post-discount target), NOT the Quotation/sticker price. All incentives are computed on the Standard/selling basis. Prices are excluding GST</t>
  </si>
  <si>
    <t>Hard floor below which a rep may NOT sell without prior approval from Arjun. Sales below Minimum price are not incentive-eligible unless approved. Prices are excluding GST</t>
  </si>
  <si>
    <t>All prices are excl. GST. Standard &amp; Minimum used for incentive calculations</t>
  </si>
  <si>
    <t>Mentioned in the device incentive sheet for both the salesperson &amp; the sales manager</t>
  </si>
  <si>
    <t>No minimum price for Celluma. Only 1 pricing</t>
  </si>
  <si>
    <t>Added in the individual HQ target sheet. 10 units/per HQ/ per year</t>
  </si>
  <si>
    <t>Split (Device &amp; Celluma)</t>
  </si>
  <si>
    <t>Esthemax</t>
  </si>
  <si>
    <t>Quarter Incentive Confirmation</t>
  </si>
  <si>
    <t>As per slab, after full payment receipt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</si>
</sst>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&gt;=10000000]##\,##\,##\,##0;[&gt;=100000]##\,##\,##0;##,##0"/>
    <numFmt numFmtId="165" formatCode="#,##0;&quot;(#,##0)&quot;;\-"/>
    <numFmt numFmtId="166" formatCode="0.0"/>
    <numFmt numFmtId="167" formatCode="\₹#,##0"/>
    <numFmt numFmtId="168" formatCode="[&gt;=10000000]##\,##\,##\,##0.00;[&gt;=100000]##\,##\,##0.00;##,##0.00"/>
    <numFmt numFmtId="169" formatCode="0.0&quot; L&quot;"/>
    <numFmt numFmtId="170" formatCode="0.00&quot; Cr&quot;"/>
  </numFmts>
  <fonts count="71" x14ac:knownFonts="1">
    <font>
      <sz val="11"/>
      <color theme="1"/>
      <name val="Calibri"/>
      <charset val="1"/>
    </font>
    <font>
      <sz val="10"/>
      <color rgb="FF1F2937"/>
      <name val="Arial"/>
      <charset val="1"/>
    </font>
    <font>
      <b/>
      <sz val="20"/>
      <color rgb="FF1F4E78"/>
      <name val="Arial"/>
      <charset val="1"/>
    </font>
    <font>
      <i/>
      <sz val="10"/>
      <color rgb="FFBF8F00"/>
      <name val="Arial"/>
      <charset val="1"/>
    </font>
    <font>
      <b/>
      <sz val="10"/>
      <color rgb="FFFFFFFF"/>
      <name val="Arial"/>
      <charset val="1"/>
    </font>
    <font>
      <b/>
      <sz val="22"/>
      <color rgb="FF1F4E78"/>
      <name val="Arial"/>
      <charset val="1"/>
    </font>
    <font>
      <i/>
      <sz val="9"/>
      <color rgb="FFBF8F00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2937"/>
      <name val="Arial"/>
      <charset val="1"/>
    </font>
    <font>
      <sz val="9"/>
      <color rgb="FF1F2937"/>
      <name val="Arial"/>
      <charset val="1"/>
    </font>
    <font>
      <b/>
      <sz val="14"/>
      <color rgb="FF1F4E78"/>
      <name val="Arial"/>
      <charset val="1"/>
    </font>
    <font>
      <sz val="10"/>
      <color rgb="FF1F4E78"/>
      <name val="Arial"/>
      <charset val="1"/>
    </font>
    <font>
      <sz val="10"/>
      <color rgb="FFBF8F00"/>
      <name val="Arial"/>
      <charset val="1"/>
    </font>
    <font>
      <i/>
      <sz val="9"/>
      <color rgb="FFD9E1F2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8"/>
      <color rgb="FF1F2937"/>
      <name val="Arial"/>
      <charset val="1"/>
    </font>
    <font>
      <b/>
      <sz val="18"/>
      <color rgb="FF1F4E78"/>
      <name val="Arial"/>
      <charset val="1"/>
    </font>
    <font>
      <sz val="9"/>
      <color rgb="FFBF8F00"/>
      <name val="Arial"/>
      <charset val="1"/>
    </font>
    <font>
      <b/>
      <sz val="9"/>
      <color rgb="FF000000"/>
      <name val="Arial"/>
      <charset val="1"/>
    </font>
    <font>
      <sz val="8"/>
      <name val="Arial"/>
      <charset val="1"/>
    </font>
    <font>
      <b/>
      <sz val="8"/>
      <name val="Arial"/>
      <charset val="1"/>
    </font>
    <font>
      <b/>
      <sz val="9"/>
      <color rgb="FF1F4E78"/>
      <name val="Arial"/>
      <charset val="1"/>
    </font>
    <font>
      <b/>
      <sz val="9"/>
      <color rgb="FF548235"/>
      <name val="Arial"/>
      <charset val="1"/>
    </font>
    <font>
      <b/>
      <sz val="16"/>
      <color rgb="FFFFFFFF"/>
      <name val="Arial"/>
      <charset val="1"/>
    </font>
    <font>
      <i/>
      <sz val="10"/>
      <color rgb="FF1F2937"/>
      <name val="Arial"/>
      <charset val="1"/>
    </font>
    <font>
      <i/>
      <sz val="9"/>
      <color rgb="FF1F2937"/>
      <name val="Arial"/>
      <charset val="1"/>
    </font>
    <font>
      <b/>
      <sz val="12"/>
      <color rgb="FF1F4E78"/>
      <name val="Arial"/>
      <charset val="1"/>
    </font>
    <font>
      <b/>
      <sz val="11"/>
      <color theme="1"/>
      <name val="Calibri"/>
      <charset val="1"/>
    </font>
    <font>
      <sz val="10"/>
      <name val="Arial"/>
      <family val="2"/>
    </font>
    <font>
      <b/>
      <sz val="10"/>
      <color rgb="FF1F4E78"/>
      <name val="Arial"/>
      <charset val="1"/>
    </font>
    <font>
      <b/>
      <sz val="10"/>
      <color rgb="FF0000FF"/>
      <name val="Arial"/>
      <charset val="1"/>
    </font>
    <font>
      <sz val="9"/>
      <color rgb="FF0000FF"/>
      <name val="Arial"/>
      <charset val="1"/>
    </font>
    <font>
      <sz val="10"/>
      <color rgb="FF0000FF"/>
      <name val="Arial"/>
      <charset val="1"/>
    </font>
    <font>
      <sz val="8"/>
      <color rgb="FFBF8F00"/>
      <name val="Arial"/>
      <charset val="1"/>
    </font>
    <font>
      <sz val="9"/>
      <color rgb="FF000000"/>
      <name val="Arial"/>
      <charset val="1"/>
    </font>
    <font>
      <i/>
      <sz val="8"/>
      <color rgb="FFBF8F00"/>
      <name val="Arial"/>
      <charset val="1"/>
    </font>
    <font>
      <b/>
      <sz val="9"/>
      <color rgb="FF1F2937"/>
      <name val="Arial"/>
      <charset val="1"/>
    </font>
    <font>
      <sz val="10"/>
      <color rgb="FF1F4E78"/>
      <name val="Arial"/>
      <family val="2"/>
    </font>
    <font>
      <b/>
      <sz val="14"/>
      <color rgb="FF002060"/>
      <name val="Arial"/>
      <family val="2"/>
    </font>
    <font>
      <b/>
      <sz val="14"/>
      <color rgb="FF1F4E78"/>
      <name val="Arial"/>
      <family val="2"/>
    </font>
    <font>
      <b/>
      <sz val="12"/>
      <color rgb="FFFFFFFF"/>
      <name val="Arial"/>
      <family val="2"/>
    </font>
    <font>
      <i/>
      <sz val="9"/>
      <color rgb="FF1F2937"/>
      <name val="Arial"/>
      <family val="2"/>
    </font>
    <font>
      <b/>
      <sz val="11"/>
      <color theme="1"/>
      <name val="Calibri"/>
      <family val="2"/>
    </font>
    <font>
      <sz val="11"/>
      <color theme="9" tint="-0.499984740745262"/>
      <name val="Arial"/>
      <family val="2"/>
    </font>
    <font>
      <b/>
      <i/>
      <sz val="12"/>
      <color theme="9" tint="-0.499984740745262"/>
      <name val="Arial"/>
      <family val="2"/>
    </font>
    <font>
      <b/>
      <sz val="14"/>
      <color theme="9" tint="-0.499984740745262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9" tint="-0.499984740745262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0"/>
      <color rgb="FF1F2937"/>
      <name val="Arial"/>
      <family val="2"/>
    </font>
    <font>
      <sz val="12"/>
      <color rgb="FF000000"/>
      <name val="Arial"/>
      <family val="2"/>
    </font>
    <font>
      <sz val="12"/>
      <color rgb="FF0000FF"/>
      <name val="Arial"/>
      <family val="2"/>
    </font>
    <font>
      <sz val="12"/>
      <color rgb="FF002060"/>
      <name val="Arial"/>
      <family val="2"/>
    </font>
    <font>
      <b/>
      <sz val="12"/>
      <color theme="9" tint="-0.499984740745262"/>
      <name val="Arial"/>
      <family val="2"/>
    </font>
    <font>
      <b/>
      <sz val="14"/>
      <color rgb="FFFFFFFF"/>
      <name val="Arial"/>
      <family val="2"/>
    </font>
    <font>
      <sz val="14"/>
      <color theme="1"/>
      <name val="Arial"/>
      <family val="2"/>
    </font>
    <font>
      <b/>
      <sz val="14"/>
      <color rgb="FF1F2937"/>
      <name val="Arial"/>
      <family val="2"/>
    </font>
    <font>
      <sz val="14"/>
      <color rgb="FF0000FF"/>
      <name val="Arial"/>
      <family val="2"/>
    </font>
    <font>
      <sz val="14"/>
      <color rgb="FFBF8F00"/>
      <name val="Arial"/>
      <family val="2"/>
    </font>
    <font>
      <b/>
      <sz val="13"/>
      <color rgb="FFFFFFFF"/>
      <name val="Arial"/>
      <family val="2"/>
    </font>
    <font>
      <sz val="13"/>
      <name val="Arial"/>
      <family val="2"/>
    </font>
    <font>
      <sz val="13"/>
      <color rgb="FF0000FF"/>
      <name val="Arial"/>
      <family val="2"/>
    </font>
    <font>
      <b/>
      <sz val="13"/>
      <color theme="9" tint="-0.499984740745262"/>
      <name val="Arial"/>
      <family val="2"/>
    </font>
    <font>
      <sz val="13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2F2F2"/>
      </patternFill>
    </fill>
    <fill>
      <patternFill patternType="solid">
        <fgColor rgb="FFF8F9FA"/>
        <bgColor rgb="FFFFFFFF"/>
      </patternFill>
    </fill>
    <fill>
      <patternFill patternType="solid">
        <fgColor rgb="FFEEEEEE"/>
        <bgColor rgb="FFF2F2F2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EEEEE"/>
      </patternFill>
    </fill>
    <fill>
      <patternFill patternType="solid">
        <fgColor rgb="FFFFFFFF"/>
        <bgColor rgb="FFF8F9FA"/>
      </patternFill>
    </fill>
    <fill>
      <patternFill patternType="solid">
        <fgColor rgb="FFF2F2F2"/>
        <bgColor rgb="FFEEEEEE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8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64" fontId="1" fillId="0" borderId="0" xfId="0" applyNumberFormat="1" applyFont="1"/>
    <xf numFmtId="0" fontId="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5" fontId="1" fillId="0" borderId="0" xfId="0" applyNumberFormat="1" applyFont="1"/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65" fontId="14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3" fontId="18" fillId="0" borderId="3" xfId="0" applyNumberFormat="1" applyFont="1" applyBorder="1" applyAlignment="1">
      <alignment horizontal="right" vertical="center"/>
    </xf>
    <xf numFmtId="166" fontId="18" fillId="0" borderId="3" xfId="0" applyNumberFormat="1" applyFont="1" applyBorder="1" applyAlignment="1">
      <alignment horizontal="right" vertical="center"/>
    </xf>
    <xf numFmtId="0" fontId="19" fillId="0" borderId="3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left" vertical="top" wrapText="1"/>
    </xf>
    <xf numFmtId="0" fontId="24" fillId="8" borderId="3" xfId="0" applyFont="1" applyFill="1" applyBorder="1" applyAlignment="1">
      <alignment horizontal="left" vertical="top" wrapText="1"/>
    </xf>
    <xf numFmtId="0" fontId="24" fillId="9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left" vertical="top" wrapText="1"/>
    </xf>
    <xf numFmtId="0" fontId="24" fillId="10" borderId="3" xfId="0" applyFont="1" applyFill="1" applyBorder="1" applyAlignment="1">
      <alignment horizontal="left" vertical="top" wrapText="1"/>
    </xf>
    <xf numFmtId="0" fontId="24" fillId="5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left" vertical="top" wrapText="1"/>
    </xf>
    <xf numFmtId="0" fontId="24" fillId="9" borderId="3" xfId="0" applyFont="1" applyFill="1" applyBorder="1" applyAlignment="1">
      <alignment horizontal="left" vertical="top" wrapText="1"/>
    </xf>
    <xf numFmtId="0" fontId="2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vertical="center" wrapText="1"/>
    </xf>
    <xf numFmtId="0" fontId="1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3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31" fillId="10" borderId="0" xfId="0" applyFont="1" applyFill="1"/>
    <xf numFmtId="0" fontId="0" fillId="0" borderId="5" xfId="0" applyBorder="1"/>
    <xf numFmtId="0" fontId="0" fillId="0" borderId="6" xfId="0" applyBorder="1"/>
    <xf numFmtId="0" fontId="33" fillId="11" borderId="3" xfId="0" applyFont="1" applyFill="1" applyBorder="1" applyAlignment="1">
      <alignment horizontal="center" vertical="center"/>
    </xf>
    <xf numFmtId="167" fontId="34" fillId="11" borderId="3" xfId="0" applyNumberFormat="1" applyFont="1" applyFill="1" applyBorder="1" applyAlignment="1">
      <alignment horizontal="right" vertical="center"/>
    </xf>
    <xf numFmtId="0" fontId="29" fillId="11" borderId="3" xfId="0" applyFont="1" applyFill="1" applyBorder="1" applyAlignment="1">
      <alignment horizontal="left" vertical="center"/>
    </xf>
    <xf numFmtId="0" fontId="18" fillId="11" borderId="3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7" fontId="34" fillId="3" borderId="3" xfId="0" applyNumberFormat="1" applyFont="1" applyFill="1" applyBorder="1" applyAlignment="1">
      <alignment horizontal="right" vertical="center"/>
    </xf>
    <xf numFmtId="0" fontId="29" fillId="3" borderId="3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horizontal="center" vertical="center" wrapText="1"/>
    </xf>
    <xf numFmtId="0" fontId="33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67" fontId="34" fillId="9" borderId="3" xfId="0" applyNumberFormat="1" applyFont="1" applyFill="1" applyBorder="1" applyAlignment="1">
      <alignment horizontal="right" vertical="center"/>
    </xf>
    <xf numFmtId="0" fontId="29" fillId="9" borderId="3" xfId="0" applyFont="1" applyFill="1" applyBorder="1" applyAlignment="1">
      <alignment horizontal="left" vertical="center"/>
    </xf>
    <xf numFmtId="0" fontId="18" fillId="9" borderId="3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7" fontId="34" fillId="5" borderId="3" xfId="0" applyNumberFormat="1" applyFont="1" applyFill="1" applyBorder="1" applyAlignment="1">
      <alignment horizontal="right" vertical="center"/>
    </xf>
    <xf numFmtId="0" fontId="29" fillId="5" borderId="3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center" vertical="center" wrapText="1"/>
    </xf>
    <xf numFmtId="0" fontId="33" fillId="12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167" fontId="34" fillId="12" borderId="3" xfId="0" applyNumberFormat="1" applyFont="1" applyFill="1" applyBorder="1" applyAlignment="1">
      <alignment horizontal="right" vertical="center"/>
    </xf>
    <xf numFmtId="0" fontId="29" fillId="12" borderId="3" xfId="0" applyFont="1" applyFill="1" applyBorder="1" applyAlignment="1">
      <alignment horizontal="left" vertical="center"/>
    </xf>
    <xf numFmtId="0" fontId="18" fillId="12" borderId="3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167" fontId="34" fillId="13" borderId="3" xfId="0" applyNumberFormat="1" applyFont="1" applyFill="1" applyBorder="1" applyAlignment="1">
      <alignment horizontal="right" vertical="center"/>
    </xf>
    <xf numFmtId="0" fontId="29" fillId="13" borderId="3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3" fontId="35" fillId="0" borderId="3" xfId="0" applyNumberFormat="1" applyFont="1" applyBorder="1" applyAlignment="1">
      <alignment horizontal="right" vertical="center"/>
    </xf>
    <xf numFmtId="3" fontId="18" fillId="5" borderId="3" xfId="0" applyNumberFormat="1" applyFont="1" applyFill="1" applyBorder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166" fontId="36" fillId="0" borderId="0" xfId="0" applyNumberFormat="1" applyFont="1" applyAlignment="1">
      <alignment horizontal="right" vertical="center"/>
    </xf>
    <xf numFmtId="167" fontId="36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166" fontId="16" fillId="2" borderId="3" xfId="0" applyNumberFormat="1" applyFont="1" applyFill="1" applyBorder="1" applyAlignment="1">
      <alignment horizontal="center" vertical="center" wrapText="1"/>
    </xf>
    <xf numFmtId="167" fontId="16" fillId="2" borderId="3" xfId="0" applyNumberFormat="1" applyFont="1" applyFill="1" applyBorder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3" fontId="35" fillId="0" borderId="0" xfId="0" applyNumberFormat="1" applyFont="1" applyAlignment="1">
      <alignment horizontal="right" vertical="center"/>
    </xf>
    <xf numFmtId="166" fontId="35" fillId="0" borderId="3" xfId="0" applyNumberFormat="1" applyFont="1" applyBorder="1" applyAlignment="1">
      <alignment horizontal="right" vertical="center"/>
    </xf>
    <xf numFmtId="166" fontId="18" fillId="5" borderId="3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6" fontId="36" fillId="0" borderId="0" xfId="0" applyNumberFormat="1" applyFont="1" applyAlignment="1">
      <alignment horizontal="right"/>
    </xf>
    <xf numFmtId="167" fontId="36" fillId="0" borderId="0" xfId="0" applyNumberFormat="1" applyFont="1" applyAlignment="1">
      <alignment horizontal="right"/>
    </xf>
    <xf numFmtId="167" fontId="29" fillId="0" borderId="0" xfId="0" applyNumberFormat="1" applyFont="1" applyAlignment="1">
      <alignment horizontal="center"/>
    </xf>
    <xf numFmtId="0" fontId="29" fillId="0" borderId="0" xfId="0" applyFont="1" applyAlignment="1">
      <alignment vertical="center"/>
    </xf>
    <xf numFmtId="0" fontId="37" fillId="0" borderId="3" xfId="0" applyFont="1" applyBorder="1" applyAlignment="1">
      <alignment horizontal="left" vertical="center" wrapText="1"/>
    </xf>
    <xf numFmtId="168" fontId="0" fillId="0" borderId="0" xfId="0" applyNumberFormat="1" applyAlignment="1">
      <alignment horizontal="center"/>
    </xf>
    <xf numFmtId="164" fontId="38" fillId="0" borderId="3" xfId="0" applyNumberFormat="1" applyFont="1" applyBorder="1" applyAlignment="1">
      <alignment horizontal="left" vertical="center" wrapText="1"/>
    </xf>
    <xf numFmtId="164" fontId="35" fillId="0" borderId="3" xfId="0" applyNumberFormat="1" applyFont="1" applyBorder="1" applyAlignment="1">
      <alignment horizontal="right" vertical="center"/>
    </xf>
    <xf numFmtId="0" fontId="3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right" vertical="center"/>
    </xf>
    <xf numFmtId="0" fontId="11" fillId="0" borderId="3" xfId="0" applyFont="1" applyBorder="1" applyAlignment="1">
      <alignment horizontal="left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169" fontId="11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66" fontId="18" fillId="0" borderId="3" xfId="0" applyNumberFormat="1" applyFont="1" applyBorder="1" applyAlignment="1">
      <alignment horizontal="center" vertical="center" wrapText="1"/>
    </xf>
    <xf numFmtId="170" fontId="11" fillId="0" borderId="3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left" vertical="center"/>
    </xf>
    <xf numFmtId="0" fontId="11" fillId="9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left" vertical="center" wrapText="1"/>
    </xf>
    <xf numFmtId="165" fontId="42" fillId="14" borderId="1" xfId="0" applyNumberFormat="1" applyFont="1" applyFill="1" applyBorder="1" applyAlignment="1">
      <alignment horizontal="center" vertical="center"/>
    </xf>
    <xf numFmtId="165" fontId="43" fillId="15" borderId="1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0" fontId="52" fillId="0" borderId="0" xfId="0" applyFont="1"/>
    <xf numFmtId="0" fontId="53" fillId="0" borderId="0" xfId="0" applyFont="1" applyAlignment="1">
      <alignment horizontal="left" vertical="top"/>
    </xf>
    <xf numFmtId="3" fontId="11" fillId="0" borderId="3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54" fillId="0" borderId="0" xfId="0" applyFont="1" applyAlignment="1">
      <alignment vertical="center"/>
    </xf>
    <xf numFmtId="0" fontId="55" fillId="2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1" fontId="18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38" fillId="0" borderId="0" xfId="0" applyNumberFormat="1" applyFont="1" applyAlignment="1">
      <alignment horizontal="left" vertical="center" wrapText="1"/>
    </xf>
    <xf numFmtId="168" fontId="35" fillId="0" borderId="0" xfId="0" applyNumberFormat="1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8" fontId="38" fillId="0" borderId="0" xfId="0" applyNumberFormat="1" applyFont="1" applyAlignment="1">
      <alignment horizontal="center" vertical="center"/>
    </xf>
    <xf numFmtId="0" fontId="44" fillId="2" borderId="14" xfId="0" applyFont="1" applyFill="1" applyBorder="1" applyAlignment="1">
      <alignment horizontal="center" vertical="center" wrapText="1"/>
    </xf>
    <xf numFmtId="168" fontId="44" fillId="2" borderId="14" xfId="0" applyNumberFormat="1" applyFont="1" applyFill="1" applyBorder="1" applyAlignment="1">
      <alignment horizontal="center" vertical="center" wrapText="1"/>
    </xf>
    <xf numFmtId="164" fontId="57" fillId="0" borderId="14" xfId="0" applyNumberFormat="1" applyFont="1" applyBorder="1" applyAlignment="1">
      <alignment horizontal="left" vertical="center" wrapText="1"/>
    </xf>
    <xf numFmtId="168" fontId="57" fillId="0" borderId="14" xfId="0" applyNumberFormat="1" applyFont="1" applyBorder="1" applyAlignment="1">
      <alignment horizontal="center" vertical="center"/>
    </xf>
    <xf numFmtId="168" fontId="58" fillId="0" borderId="14" xfId="0" applyNumberFormat="1" applyFont="1" applyBorder="1" applyAlignment="1">
      <alignment horizontal="center" vertical="center"/>
    </xf>
    <xf numFmtId="164" fontId="59" fillId="0" borderId="14" xfId="0" applyNumberFormat="1" applyFont="1" applyBorder="1" applyAlignment="1">
      <alignment horizontal="center" vertical="center"/>
    </xf>
    <xf numFmtId="168" fontId="59" fillId="0" borderId="14" xfId="0" applyNumberFormat="1" applyFont="1" applyBorder="1" applyAlignment="1">
      <alignment horizontal="center" vertical="center"/>
    </xf>
    <xf numFmtId="0" fontId="60" fillId="0" borderId="0" xfId="0" applyFont="1" applyAlignment="1">
      <alignment horizontal="left" vertical="top"/>
    </xf>
    <xf numFmtId="0" fontId="61" fillId="0" borderId="0" xfId="0" applyFont="1" applyAlignment="1">
      <alignment horizontal="center" vertical="center" wrapText="1"/>
    </xf>
    <xf numFmtId="0" fontId="62" fillId="0" borderId="0" xfId="0" applyFont="1"/>
    <xf numFmtId="0" fontId="63" fillId="0" borderId="0" xfId="0" applyFont="1" applyAlignment="1">
      <alignment vertical="top" wrapText="1"/>
    </xf>
    <xf numFmtId="164" fontId="64" fillId="0" borderId="0" xfId="0" applyNumberFormat="1" applyFont="1" applyAlignment="1">
      <alignment horizontal="right" vertical="center"/>
    </xf>
    <xf numFmtId="0" fontId="65" fillId="0" borderId="0" xfId="0" applyFont="1" applyAlignment="1">
      <alignment horizontal="left" vertical="center" wrapText="1"/>
    </xf>
    <xf numFmtId="0" fontId="66" fillId="2" borderId="3" xfId="0" applyFont="1" applyFill="1" applyBorder="1" applyAlignment="1">
      <alignment horizontal="center" vertical="center" wrapText="1"/>
    </xf>
    <xf numFmtId="164" fontId="67" fillId="0" borderId="3" xfId="0" applyNumberFormat="1" applyFont="1" applyBorder="1" applyAlignment="1">
      <alignment horizontal="left" vertical="center" wrapText="1"/>
    </xf>
    <xf numFmtId="3" fontId="68" fillId="0" borderId="3" xfId="0" applyNumberFormat="1" applyFont="1" applyBorder="1" applyAlignment="1">
      <alignment horizontal="right" vertical="center"/>
    </xf>
    <xf numFmtId="0" fontId="70" fillId="0" borderId="0" xfId="0" applyFont="1"/>
    <xf numFmtId="164" fontId="67" fillId="0" borderId="0" xfId="0" applyNumberFormat="1" applyFont="1" applyAlignment="1">
      <alignment horizontal="left" vertical="center" wrapText="1"/>
    </xf>
    <xf numFmtId="3" fontId="68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165" fontId="13" fillId="6" borderId="8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165" fontId="12" fillId="3" borderId="1" xfId="0" applyNumberFormat="1" applyFont="1" applyFill="1" applyBorder="1" applyAlignment="1">
      <alignment horizontal="center" vertical="center"/>
    </xf>
    <xf numFmtId="165" fontId="41" fillId="0" borderId="1" xfId="0" applyNumberFormat="1" applyFont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0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27" fillId="2" borderId="0" xfId="0" applyFont="1" applyFill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45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44" fillId="2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51" fillId="0" borderId="0" xfId="0" applyFont="1" applyAlignment="1">
      <alignment horizontal="left" vertical="center" wrapText="1"/>
    </xf>
    <xf numFmtId="0" fontId="50" fillId="16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left" vertical="center"/>
    </xf>
    <xf numFmtId="3" fontId="56" fillId="0" borderId="11" xfId="0" applyNumberFormat="1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9" fillId="4" borderId="0" xfId="0" applyFont="1" applyFill="1" applyAlignment="1">
      <alignment horizontal="left" vertical="center" wrapText="1"/>
    </xf>
    <xf numFmtId="0" fontId="31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0" fontId="39" fillId="3" borderId="7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0" fillId="0" borderId="0" xfId="0"/>
    <xf numFmtId="0" fontId="39" fillId="3" borderId="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3" fontId="2" fillId="3" borderId="7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CCFF"/>
      <rgbColor rgb="FFEEEEEE"/>
      <rgbColor rgb="FFE2EFDA"/>
      <rgbColor rgb="FFFFE699"/>
      <rgbColor rgb="FFD9D9D9"/>
      <rgbColor rgb="FFF2F2F2"/>
      <rgbColor rgb="FFD9E1F2"/>
      <rgbColor rgb="FFFFD966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00"/>
  <sheetViews>
    <sheetView showGridLines="0" topLeftCell="A38" zoomScaleNormal="100" workbookViewId="0">
      <selection activeCell="A51" sqref="A51"/>
    </sheetView>
  </sheetViews>
  <sheetFormatPr defaultColWidth="14.44140625" defaultRowHeight="14.4" x14ac:dyDescent="0.3"/>
  <cols>
    <col min="1" max="2" width="2" customWidth="1"/>
    <col min="3" max="4" width="28" customWidth="1"/>
    <col min="5" max="5" width="14" customWidth="1"/>
    <col min="6" max="6" width="20" customWidth="1"/>
    <col min="7" max="8" width="12" customWidth="1"/>
    <col min="9" max="10" width="55" customWidth="1"/>
    <col min="11" max="13" width="2" customWidth="1"/>
    <col min="14" max="14" width="8" customWidth="1"/>
    <col min="15" max="26" width="8.6640625" customWidth="1"/>
  </cols>
  <sheetData>
    <row r="1" spans="1:14" ht="1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36" customHeight="1" x14ac:dyDescent="0.3">
      <c r="A2" s="3"/>
      <c r="B2" s="206" t="s">
        <v>0</v>
      </c>
      <c r="C2" s="206"/>
      <c r="D2" s="206"/>
      <c r="E2" s="206"/>
      <c r="F2" s="206"/>
      <c r="G2" s="206"/>
      <c r="H2" s="206"/>
      <c r="I2" s="206"/>
      <c r="J2" s="3"/>
      <c r="K2" s="3"/>
      <c r="L2" s="3"/>
      <c r="M2" s="3"/>
      <c r="N2" s="3"/>
    </row>
    <row r="3" spans="1:14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31.5" customHeight="1" x14ac:dyDescent="0.3">
      <c r="A4" s="3"/>
      <c r="B4" s="207" t="s">
        <v>1</v>
      </c>
      <c r="C4" s="207"/>
      <c r="D4" s="207"/>
      <c r="E4" s="207"/>
      <c r="F4" s="207"/>
      <c r="G4" s="207"/>
      <c r="H4" s="207"/>
      <c r="I4" s="207"/>
      <c r="J4" s="3"/>
      <c r="K4" s="3"/>
      <c r="L4" s="3"/>
      <c r="M4" s="3"/>
      <c r="N4" s="3"/>
    </row>
    <row r="5" spans="1:14" ht="1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1.75" customHeight="1" x14ac:dyDescent="0.3">
      <c r="A6" s="3"/>
      <c r="B6" s="208" t="s">
        <v>2</v>
      </c>
      <c r="C6" s="208"/>
      <c r="D6" s="208" t="s">
        <v>3</v>
      </c>
      <c r="E6" s="208"/>
      <c r="F6" s="208" t="s">
        <v>4</v>
      </c>
      <c r="G6" s="208"/>
      <c r="H6" s="208" t="s">
        <v>5</v>
      </c>
      <c r="I6" s="208"/>
      <c r="J6" s="3"/>
      <c r="K6" s="3"/>
      <c r="L6" s="3"/>
      <c r="M6" s="3"/>
      <c r="N6" s="3"/>
    </row>
    <row r="7" spans="1:14" ht="36" customHeight="1" x14ac:dyDescent="0.3">
      <c r="A7" s="3"/>
      <c r="B7" s="203">
        <v>229</v>
      </c>
      <c r="C7" s="203"/>
      <c r="D7" s="204">
        <v>120</v>
      </c>
      <c r="E7" s="204"/>
      <c r="F7" s="204">
        <v>12</v>
      </c>
      <c r="G7" s="204"/>
      <c r="H7" s="204">
        <v>4</v>
      </c>
      <c r="I7" s="204"/>
      <c r="J7" s="3"/>
      <c r="K7" s="3"/>
      <c r="L7" s="3"/>
      <c r="M7" s="3"/>
      <c r="N7" s="3"/>
    </row>
    <row r="8" spans="1:14" ht="21.75" customHeight="1" x14ac:dyDescent="0.3">
      <c r="A8" s="3"/>
      <c r="B8" s="205" t="s">
        <v>6</v>
      </c>
      <c r="C8" s="205"/>
      <c r="D8" s="205" t="s">
        <v>7</v>
      </c>
      <c r="E8" s="205"/>
      <c r="F8" s="205" t="s">
        <v>8</v>
      </c>
      <c r="G8" s="205"/>
      <c r="H8" s="205" t="s">
        <v>9</v>
      </c>
      <c r="I8" s="205"/>
      <c r="J8" s="3"/>
      <c r="K8" s="3"/>
      <c r="L8" s="3"/>
      <c r="M8" s="3"/>
      <c r="N8" s="3"/>
    </row>
    <row r="9" spans="1:14" ht="1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5.5" customHeight="1" x14ac:dyDescent="0.3">
      <c r="A11" s="3"/>
      <c r="B11" s="201" t="s">
        <v>10</v>
      </c>
      <c r="C11" s="201"/>
      <c r="D11" s="201"/>
      <c r="E11" s="201"/>
      <c r="F11" s="201"/>
      <c r="G11" s="201"/>
      <c r="H11" s="201"/>
      <c r="I11" s="201"/>
      <c r="J11" s="3"/>
      <c r="K11" s="3"/>
      <c r="L11" s="3"/>
      <c r="M11" s="3"/>
      <c r="N11" s="3"/>
    </row>
    <row r="12" spans="1:14" ht="25.5" customHeight="1" x14ac:dyDescent="0.3">
      <c r="A12" s="3"/>
      <c r="B12" s="202" t="s">
        <v>11</v>
      </c>
      <c r="C12" s="202" t="s">
        <v>12</v>
      </c>
      <c r="D12" s="202" t="s">
        <v>13</v>
      </c>
      <c r="E12" s="202" t="s">
        <v>14</v>
      </c>
      <c r="F12" s="202" t="s">
        <v>15</v>
      </c>
      <c r="G12" s="2" t="s">
        <v>16</v>
      </c>
      <c r="H12" s="2" t="s">
        <v>17</v>
      </c>
      <c r="I12" s="202" t="s">
        <v>18</v>
      </c>
      <c r="J12" s="3"/>
      <c r="K12" s="3"/>
      <c r="L12" s="3"/>
      <c r="M12" s="3"/>
      <c r="N12" s="3"/>
    </row>
    <row r="13" spans="1:14" ht="21.75" customHeight="1" x14ac:dyDescent="0.3">
      <c r="A13" s="3"/>
      <c r="B13" s="202"/>
      <c r="C13" s="202"/>
      <c r="D13" s="202"/>
      <c r="E13" s="202"/>
      <c r="F13" s="202"/>
      <c r="G13" s="2" t="s">
        <v>19</v>
      </c>
      <c r="H13" s="2" t="s">
        <v>20</v>
      </c>
      <c r="I13" s="202"/>
      <c r="J13" s="3"/>
      <c r="K13" s="3"/>
      <c r="L13" s="3"/>
      <c r="M13" s="3"/>
      <c r="N13" s="3"/>
    </row>
    <row r="14" spans="1:14" ht="25.5" customHeight="1" x14ac:dyDescent="0.3">
      <c r="A14" s="3"/>
      <c r="B14" s="195" t="s">
        <v>21</v>
      </c>
      <c r="C14" s="195"/>
      <c r="D14" s="195"/>
      <c r="E14" s="195"/>
      <c r="F14" s="195"/>
      <c r="G14" s="195"/>
      <c r="H14" s="195"/>
      <c r="I14" s="195"/>
      <c r="J14" s="3"/>
      <c r="K14" s="3"/>
      <c r="L14" s="3"/>
      <c r="M14" s="3"/>
      <c r="N14" s="3"/>
    </row>
    <row r="15" spans="1:14" ht="21.75" customHeight="1" x14ac:dyDescent="0.3">
      <c r="A15" s="3"/>
      <c r="B15" s="196" t="s">
        <v>22</v>
      </c>
      <c r="C15" s="196"/>
      <c r="D15" s="196"/>
      <c r="E15" s="196"/>
      <c r="F15" s="196"/>
      <c r="G15" s="196"/>
      <c r="H15" s="196"/>
      <c r="I15" s="196"/>
      <c r="J15" s="3"/>
      <c r="K15" s="3"/>
      <c r="L15" s="3"/>
      <c r="M15" s="3"/>
      <c r="N15" s="3"/>
    </row>
    <row r="16" spans="1:14" ht="42" customHeight="1" x14ac:dyDescent="0.3">
      <c r="A16" s="3"/>
      <c r="B16" s="4">
        <v>1</v>
      </c>
      <c r="C16" s="5" t="s">
        <v>23</v>
      </c>
      <c r="D16" s="6" t="s">
        <v>24</v>
      </c>
      <c r="E16" s="6" t="s">
        <v>25</v>
      </c>
      <c r="F16" s="6" t="s">
        <v>26</v>
      </c>
      <c r="G16" s="199">
        <v>30</v>
      </c>
      <c r="H16" s="198">
        <v>20</v>
      </c>
      <c r="I16" s="7" t="s">
        <v>27</v>
      </c>
      <c r="J16" s="8"/>
      <c r="K16" s="8"/>
      <c r="L16" s="3"/>
      <c r="M16" s="3"/>
      <c r="N16" s="3"/>
    </row>
    <row r="17" spans="1:14" ht="30" customHeight="1" x14ac:dyDescent="0.3">
      <c r="A17" s="3"/>
      <c r="B17" s="9">
        <v>2</v>
      </c>
      <c r="C17" s="10" t="s">
        <v>28</v>
      </c>
      <c r="D17" s="11" t="s">
        <v>29</v>
      </c>
      <c r="E17" s="11" t="s">
        <v>30</v>
      </c>
      <c r="F17" s="11" t="s">
        <v>23</v>
      </c>
      <c r="G17" s="199"/>
      <c r="H17" s="200"/>
      <c r="I17" s="12"/>
      <c r="J17" s="3"/>
      <c r="K17" s="8"/>
      <c r="L17" s="3"/>
      <c r="M17" s="3"/>
      <c r="N17" s="3"/>
    </row>
    <row r="18" spans="1:14" ht="7.5" customHeight="1" x14ac:dyDescent="0.3">
      <c r="A18" s="3"/>
      <c r="B18" s="3"/>
      <c r="C18" s="3"/>
      <c r="D18" s="3"/>
      <c r="E18" s="3"/>
      <c r="F18" s="3"/>
      <c r="G18" s="13"/>
      <c r="H18" s="13"/>
      <c r="I18" s="13"/>
      <c r="J18" s="8"/>
      <c r="K18" s="8"/>
      <c r="L18" s="3"/>
      <c r="M18" s="3"/>
      <c r="N18" s="3"/>
    </row>
    <row r="19" spans="1:14" ht="25.5" customHeight="1" x14ac:dyDescent="0.3">
      <c r="A19" s="3"/>
      <c r="B19" s="195" t="s">
        <v>31</v>
      </c>
      <c r="C19" s="195"/>
      <c r="D19" s="195"/>
      <c r="E19" s="195"/>
      <c r="F19" s="195"/>
      <c r="G19" s="195"/>
      <c r="H19" s="195"/>
      <c r="I19" s="195"/>
      <c r="J19" s="3"/>
      <c r="K19" s="3"/>
      <c r="L19" s="3"/>
      <c r="M19" s="3"/>
      <c r="N19" s="3"/>
    </row>
    <row r="20" spans="1:14" ht="21.75" customHeight="1" x14ac:dyDescent="0.3">
      <c r="A20" s="3"/>
      <c r="B20" s="196" t="s">
        <v>32</v>
      </c>
      <c r="C20" s="196"/>
      <c r="D20" s="196"/>
      <c r="E20" s="196"/>
      <c r="F20" s="196"/>
      <c r="G20" s="196"/>
      <c r="H20" s="196"/>
      <c r="I20" s="196"/>
      <c r="J20" s="3"/>
      <c r="K20" s="3"/>
      <c r="L20" s="3"/>
      <c r="M20" s="3"/>
      <c r="N20" s="3"/>
    </row>
    <row r="21" spans="1:14" ht="42" customHeight="1" x14ac:dyDescent="0.3">
      <c r="A21" s="3"/>
      <c r="B21" s="4">
        <v>3</v>
      </c>
      <c r="C21" s="5" t="s">
        <v>33</v>
      </c>
      <c r="D21" s="6" t="s">
        <v>24</v>
      </c>
      <c r="E21" s="6" t="s">
        <v>34</v>
      </c>
      <c r="F21" s="6" t="s">
        <v>26</v>
      </c>
      <c r="G21" s="14">
        <v>26</v>
      </c>
      <c r="H21" s="194">
        <v>10</v>
      </c>
      <c r="I21" s="15" t="s">
        <v>35</v>
      </c>
      <c r="J21" s="8"/>
      <c r="K21" s="8"/>
      <c r="L21" s="3"/>
      <c r="M21" s="3"/>
      <c r="N21" s="3"/>
    </row>
    <row r="22" spans="1:14" ht="30" customHeight="1" x14ac:dyDescent="0.3">
      <c r="A22" s="3"/>
      <c r="B22" s="16">
        <v>4</v>
      </c>
      <c r="C22" s="17" t="s">
        <v>36</v>
      </c>
      <c r="D22" s="18" t="s">
        <v>29</v>
      </c>
      <c r="E22" s="18" t="s">
        <v>34</v>
      </c>
      <c r="F22" s="18" t="s">
        <v>33</v>
      </c>
      <c r="G22" s="19"/>
      <c r="H22" s="194"/>
      <c r="I22" s="20" t="s">
        <v>37</v>
      </c>
      <c r="J22" s="3"/>
      <c r="K22" s="8"/>
      <c r="L22" s="3"/>
      <c r="M22" s="3"/>
      <c r="N22" s="3"/>
    </row>
    <row r="23" spans="1:14" ht="21.75" customHeight="1" x14ac:dyDescent="0.3">
      <c r="A23" s="3"/>
      <c r="B23" s="196" t="s">
        <v>38</v>
      </c>
      <c r="C23" s="196"/>
      <c r="D23" s="196"/>
      <c r="E23" s="196"/>
      <c r="F23" s="196"/>
      <c r="G23" s="196"/>
      <c r="H23" s="196"/>
      <c r="I23" s="196"/>
      <c r="J23" s="3"/>
      <c r="K23" s="3"/>
      <c r="L23" s="3"/>
      <c r="M23" s="3"/>
      <c r="N23" s="3"/>
    </row>
    <row r="24" spans="1:14" ht="30" customHeight="1" x14ac:dyDescent="0.3">
      <c r="A24" s="3"/>
      <c r="B24" s="4">
        <v>5</v>
      </c>
      <c r="C24" s="5" t="s">
        <v>39</v>
      </c>
      <c r="D24" s="6" t="s">
        <v>29</v>
      </c>
      <c r="E24" s="6" t="s">
        <v>40</v>
      </c>
      <c r="F24" s="6" t="s">
        <v>33</v>
      </c>
      <c r="G24" s="21">
        <v>16</v>
      </c>
      <c r="H24" s="145">
        <v>10</v>
      </c>
      <c r="I24" s="7" t="s">
        <v>41</v>
      </c>
      <c r="J24" s="8"/>
      <c r="K24" s="8"/>
      <c r="L24" s="3"/>
      <c r="M24" s="3"/>
      <c r="N24" s="3"/>
    </row>
    <row r="25" spans="1:14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25.5" customHeight="1" x14ac:dyDescent="0.3">
      <c r="A26" s="3"/>
      <c r="B26" s="195" t="s">
        <v>42</v>
      </c>
      <c r="C26" s="195"/>
      <c r="D26" s="195"/>
      <c r="E26" s="195"/>
      <c r="F26" s="195"/>
      <c r="G26" s="195"/>
      <c r="H26" s="195"/>
      <c r="I26" s="195"/>
      <c r="J26" s="3"/>
      <c r="K26" s="3"/>
      <c r="L26" s="3"/>
      <c r="M26" s="3"/>
      <c r="N26" s="3"/>
    </row>
    <row r="27" spans="1:14" ht="21.75" customHeight="1" x14ac:dyDescent="0.3">
      <c r="A27" s="3"/>
      <c r="B27" s="196" t="s">
        <v>43</v>
      </c>
      <c r="C27" s="196"/>
      <c r="D27" s="196"/>
      <c r="E27" s="196"/>
      <c r="F27" s="196"/>
      <c r="G27" s="196"/>
      <c r="H27" s="196"/>
      <c r="I27" s="196"/>
      <c r="J27" s="3"/>
      <c r="K27" s="3"/>
      <c r="L27" s="3"/>
      <c r="M27" s="3"/>
      <c r="N27" s="3"/>
    </row>
    <row r="28" spans="1:14" ht="42" customHeight="1" x14ac:dyDescent="0.3">
      <c r="A28" s="3"/>
      <c r="B28" s="9">
        <v>6</v>
      </c>
      <c r="C28" s="10" t="s">
        <v>44</v>
      </c>
      <c r="D28" s="11" t="s">
        <v>45</v>
      </c>
      <c r="E28" s="11" t="s">
        <v>46</v>
      </c>
      <c r="F28" s="11" t="s">
        <v>26</v>
      </c>
      <c r="G28" s="192">
        <v>51</v>
      </c>
      <c r="H28" s="198">
        <v>20</v>
      </c>
      <c r="I28" s="23" t="s">
        <v>47</v>
      </c>
      <c r="J28" s="8"/>
      <c r="K28" s="8"/>
      <c r="L28" s="3"/>
      <c r="M28" s="3"/>
      <c r="N28" s="3"/>
    </row>
    <row r="29" spans="1:14" ht="42" customHeight="1" x14ac:dyDescent="0.3">
      <c r="A29" s="3"/>
      <c r="B29" s="16">
        <v>7</v>
      </c>
      <c r="C29" s="17" t="s">
        <v>48</v>
      </c>
      <c r="D29" s="18" t="s">
        <v>49</v>
      </c>
      <c r="E29" s="18" t="s">
        <v>46</v>
      </c>
      <c r="F29" s="18" t="s">
        <v>44</v>
      </c>
      <c r="G29" s="193"/>
      <c r="H29" s="198"/>
      <c r="I29" s="20" t="s">
        <v>50</v>
      </c>
      <c r="J29" s="3"/>
      <c r="K29" s="8"/>
      <c r="L29" s="3"/>
      <c r="M29" s="3"/>
      <c r="N29" s="3"/>
    </row>
    <row r="30" spans="1:14" ht="21.75" customHeight="1" x14ac:dyDescent="0.3">
      <c r="A30" s="3"/>
      <c r="B30" s="196" t="s">
        <v>51</v>
      </c>
      <c r="C30" s="196"/>
      <c r="D30" s="196"/>
      <c r="E30" s="196"/>
      <c r="F30" s="196"/>
      <c r="G30" s="196"/>
      <c r="H30" s="196"/>
      <c r="I30" s="196"/>
      <c r="J30" s="3"/>
      <c r="K30" s="3"/>
      <c r="L30" s="3"/>
      <c r="M30" s="3"/>
      <c r="N30" s="3"/>
    </row>
    <row r="31" spans="1:14" ht="30" customHeight="1" x14ac:dyDescent="0.3">
      <c r="A31" s="3"/>
      <c r="B31" s="9">
        <v>8</v>
      </c>
      <c r="C31" s="10" t="s">
        <v>52</v>
      </c>
      <c r="D31" s="11" t="s">
        <v>29</v>
      </c>
      <c r="E31" s="11" t="s">
        <v>53</v>
      </c>
      <c r="F31" s="11" t="s">
        <v>26</v>
      </c>
      <c r="G31" s="22">
        <v>17</v>
      </c>
      <c r="H31" s="144">
        <v>10</v>
      </c>
      <c r="I31" s="23" t="s">
        <v>54</v>
      </c>
      <c r="J31" s="8"/>
      <c r="K31" s="8"/>
      <c r="L31" s="3"/>
      <c r="M31" s="3"/>
      <c r="N31" s="3"/>
    </row>
    <row r="32" spans="1:14" ht="21.75" customHeight="1" x14ac:dyDescent="0.3">
      <c r="A32" s="3"/>
      <c r="B32" s="196" t="s">
        <v>55</v>
      </c>
      <c r="C32" s="196"/>
      <c r="D32" s="196"/>
      <c r="E32" s="196"/>
      <c r="F32" s="196"/>
      <c r="G32" s="196"/>
      <c r="H32" s="196"/>
      <c r="I32" s="196"/>
      <c r="J32" s="3"/>
      <c r="K32" s="3"/>
      <c r="L32" s="3"/>
      <c r="M32" s="3"/>
      <c r="N32" s="3"/>
    </row>
    <row r="33" spans="1:14" ht="30" customHeight="1" x14ac:dyDescent="0.3">
      <c r="A33" s="3"/>
      <c r="B33" s="16">
        <v>9</v>
      </c>
      <c r="C33" s="17" t="s">
        <v>56</v>
      </c>
      <c r="D33" s="18" t="s">
        <v>29</v>
      </c>
      <c r="E33" s="18" t="s">
        <v>57</v>
      </c>
      <c r="F33" s="18" t="s">
        <v>26</v>
      </c>
      <c r="G33" s="19">
        <v>0</v>
      </c>
      <c r="H33" s="19"/>
      <c r="I33" s="25" t="s">
        <v>58</v>
      </c>
      <c r="J33" s="8"/>
      <c r="K33" s="8"/>
      <c r="L33" s="3"/>
      <c r="M33" s="3"/>
      <c r="N33" s="3"/>
    </row>
    <row r="34" spans="1:14" ht="21.75" customHeight="1" x14ac:dyDescent="0.3">
      <c r="A34" s="3"/>
      <c r="B34" s="196" t="s">
        <v>59</v>
      </c>
      <c r="C34" s="196"/>
      <c r="D34" s="196"/>
      <c r="E34" s="196"/>
      <c r="F34" s="196"/>
      <c r="G34" s="196"/>
      <c r="H34" s="196"/>
      <c r="I34" s="196"/>
      <c r="J34" s="3"/>
      <c r="K34" s="3"/>
      <c r="L34" s="3"/>
      <c r="M34" s="3"/>
      <c r="N34" s="3"/>
    </row>
    <row r="35" spans="1:14" ht="42" customHeight="1" x14ac:dyDescent="0.3">
      <c r="A35" s="3"/>
      <c r="B35" s="9">
        <v>10</v>
      </c>
      <c r="C35" s="10" t="s">
        <v>60</v>
      </c>
      <c r="D35" s="11" t="s">
        <v>29</v>
      </c>
      <c r="E35" s="11" t="s">
        <v>61</v>
      </c>
      <c r="F35" s="11" t="s">
        <v>26</v>
      </c>
      <c r="G35" s="22">
        <v>23</v>
      </c>
      <c r="H35" s="144">
        <v>10</v>
      </c>
      <c r="I35" s="23" t="s">
        <v>62</v>
      </c>
      <c r="J35" s="8"/>
      <c r="K35" s="8"/>
      <c r="L35" s="3"/>
      <c r="M35" s="3"/>
      <c r="N35" s="3"/>
    </row>
    <row r="36" spans="1:14" ht="21.75" customHeight="1" x14ac:dyDescent="0.3">
      <c r="A36" s="3"/>
      <c r="B36" s="196" t="s">
        <v>63</v>
      </c>
      <c r="C36" s="196"/>
      <c r="D36" s="196"/>
      <c r="E36" s="196"/>
      <c r="F36" s="196"/>
      <c r="G36" s="196"/>
      <c r="H36" s="196"/>
      <c r="I36" s="196"/>
      <c r="J36" s="3"/>
      <c r="K36" s="3"/>
      <c r="L36" s="3"/>
      <c r="M36" s="3"/>
      <c r="N36" s="3"/>
    </row>
    <row r="37" spans="1:14" ht="30" customHeight="1" x14ac:dyDescent="0.3">
      <c r="A37" s="3"/>
      <c r="B37" s="16">
        <v>11</v>
      </c>
      <c r="C37" s="17" t="s">
        <v>64</v>
      </c>
      <c r="D37" s="18" t="s">
        <v>29</v>
      </c>
      <c r="E37" s="18" t="s">
        <v>65</v>
      </c>
      <c r="F37" s="18" t="s">
        <v>26</v>
      </c>
      <c r="G37" s="24">
        <v>0</v>
      </c>
      <c r="H37" s="194">
        <v>10</v>
      </c>
      <c r="I37" s="20" t="s">
        <v>66</v>
      </c>
      <c r="J37" s="8"/>
      <c r="K37" s="8"/>
      <c r="L37" s="3"/>
      <c r="M37" s="3"/>
      <c r="N37" s="3"/>
    </row>
    <row r="38" spans="1:14" ht="42" customHeight="1" x14ac:dyDescent="0.3">
      <c r="A38" s="3"/>
      <c r="B38" s="9">
        <v>12</v>
      </c>
      <c r="C38" s="10" t="s">
        <v>67</v>
      </c>
      <c r="D38" s="11" t="s">
        <v>68</v>
      </c>
      <c r="E38" s="11" t="s">
        <v>65</v>
      </c>
      <c r="F38" s="11" t="s">
        <v>26</v>
      </c>
      <c r="G38" s="22">
        <v>0</v>
      </c>
      <c r="H38" s="194"/>
      <c r="I38" s="12" t="s">
        <v>69</v>
      </c>
      <c r="J38" s="3"/>
      <c r="K38" s="8"/>
      <c r="L38" s="3"/>
      <c r="M38" s="3"/>
      <c r="N38" s="3"/>
    </row>
    <row r="39" spans="1:14" ht="30" customHeight="1" x14ac:dyDescent="0.3">
      <c r="A39" s="3"/>
      <c r="B39" s="16">
        <v>13</v>
      </c>
      <c r="C39" s="17" t="s">
        <v>70</v>
      </c>
      <c r="D39" s="18" t="s">
        <v>29</v>
      </c>
      <c r="E39" s="18" t="s">
        <v>65</v>
      </c>
      <c r="F39" s="18" t="s">
        <v>26</v>
      </c>
      <c r="G39" s="24">
        <v>0</v>
      </c>
      <c r="H39" s="194"/>
      <c r="I39" s="20" t="s">
        <v>71</v>
      </c>
      <c r="J39" s="3"/>
      <c r="K39" s="8"/>
      <c r="L39" s="3"/>
      <c r="M39" s="3"/>
      <c r="N39" s="3"/>
    </row>
    <row r="40" spans="1:14" ht="7.5" customHeight="1" x14ac:dyDescent="0.3">
      <c r="A40" s="3"/>
      <c r="B40" s="3"/>
      <c r="C40" s="3"/>
      <c r="D40" s="3"/>
      <c r="E40" s="3"/>
      <c r="F40" s="3"/>
      <c r="G40" s="13"/>
      <c r="H40" s="13"/>
      <c r="I40" s="13"/>
      <c r="J40" s="8"/>
      <c r="K40" s="8"/>
      <c r="L40" s="3"/>
      <c r="M40" s="3"/>
      <c r="N40" s="3"/>
    </row>
    <row r="41" spans="1:14" ht="25.5" customHeight="1" x14ac:dyDescent="0.3">
      <c r="A41" s="3"/>
      <c r="B41" s="195" t="s">
        <v>72</v>
      </c>
      <c r="C41" s="195"/>
      <c r="D41" s="195"/>
      <c r="E41" s="195"/>
      <c r="F41" s="195"/>
      <c r="G41" s="195"/>
      <c r="H41" s="195"/>
      <c r="I41" s="195"/>
      <c r="J41" s="3"/>
      <c r="K41" s="3"/>
      <c r="L41" s="3"/>
      <c r="M41" s="3"/>
      <c r="N41" s="3"/>
    </row>
    <row r="42" spans="1:14" ht="21.75" customHeight="1" x14ac:dyDescent="0.3">
      <c r="A42" s="3"/>
      <c r="B42" s="196" t="s">
        <v>73</v>
      </c>
      <c r="C42" s="196"/>
      <c r="D42" s="196"/>
      <c r="E42" s="196"/>
      <c r="F42" s="196"/>
      <c r="G42" s="196"/>
      <c r="H42" s="196"/>
      <c r="I42" s="196"/>
      <c r="J42" s="3"/>
      <c r="K42" s="3"/>
      <c r="L42" s="3"/>
      <c r="M42" s="3"/>
      <c r="N42" s="3"/>
    </row>
    <row r="43" spans="1:14" ht="42" customHeight="1" x14ac:dyDescent="0.3">
      <c r="A43" s="3"/>
      <c r="B43" s="9">
        <v>14</v>
      </c>
      <c r="C43" s="10" t="s">
        <v>74</v>
      </c>
      <c r="D43" s="11" t="s">
        <v>24</v>
      </c>
      <c r="E43" s="11" t="s">
        <v>75</v>
      </c>
      <c r="F43" s="11" t="s">
        <v>26</v>
      </c>
      <c r="G43" s="26">
        <v>10</v>
      </c>
      <c r="H43" s="194">
        <v>30</v>
      </c>
      <c r="I43" s="12" t="s">
        <v>76</v>
      </c>
      <c r="J43" s="8"/>
      <c r="K43" s="8"/>
      <c r="L43" s="3"/>
      <c r="M43" s="3"/>
      <c r="N43" s="3"/>
    </row>
    <row r="44" spans="1:14" ht="30" customHeight="1" x14ac:dyDescent="0.3">
      <c r="A44" s="3"/>
      <c r="B44" s="4">
        <v>15</v>
      </c>
      <c r="C44" s="5" t="s">
        <v>77</v>
      </c>
      <c r="D44" s="6" t="s">
        <v>29</v>
      </c>
      <c r="E44" s="6" t="s">
        <v>75</v>
      </c>
      <c r="F44" s="6" t="s">
        <v>74</v>
      </c>
      <c r="G44" s="14">
        <v>29</v>
      </c>
      <c r="H44" s="194"/>
      <c r="I44" s="15" t="s">
        <v>78</v>
      </c>
      <c r="J44" s="3"/>
      <c r="K44" s="8"/>
      <c r="L44" s="3"/>
      <c r="M44" s="3"/>
      <c r="N44" s="3"/>
    </row>
    <row r="45" spans="1:14" ht="30" customHeight="1" x14ac:dyDescent="0.3">
      <c r="A45" s="3"/>
      <c r="B45" s="9">
        <v>16</v>
      </c>
      <c r="C45" s="10" t="s">
        <v>79</v>
      </c>
      <c r="D45" s="11" t="s">
        <v>29</v>
      </c>
      <c r="E45" s="11" t="s">
        <v>80</v>
      </c>
      <c r="F45" s="11" t="s">
        <v>74</v>
      </c>
      <c r="G45" s="26">
        <v>27</v>
      </c>
      <c r="H45" s="194"/>
      <c r="I45" s="12" t="s">
        <v>81</v>
      </c>
      <c r="J45" s="3"/>
      <c r="K45" s="8"/>
      <c r="L45" s="3"/>
      <c r="M45" s="3"/>
      <c r="N45" s="3"/>
    </row>
    <row r="46" spans="1:14" ht="1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8"/>
      <c r="K46" s="8"/>
      <c r="L46" s="3"/>
      <c r="M46" s="3"/>
      <c r="N46" s="3"/>
    </row>
    <row r="47" spans="1:14" ht="31.5" customHeight="1" x14ac:dyDescent="0.3">
      <c r="A47" s="3"/>
      <c r="B47" s="197" t="s">
        <v>82</v>
      </c>
      <c r="C47" s="197"/>
      <c r="D47" s="197"/>
      <c r="E47" s="197"/>
      <c r="F47" s="197"/>
      <c r="G47" s="27">
        <v>229</v>
      </c>
      <c r="H47" s="27">
        <v>120</v>
      </c>
      <c r="I47" s="28" t="s">
        <v>83</v>
      </c>
      <c r="J47" s="3"/>
      <c r="K47" s="3"/>
      <c r="L47" s="3"/>
      <c r="M47" s="3"/>
      <c r="N47" s="3"/>
    </row>
    <row r="48" spans="1:14" ht="1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8"/>
      <c r="K48" s="8"/>
      <c r="L48" s="3"/>
      <c r="M48" s="3"/>
      <c r="N48" s="3"/>
    </row>
    <row r="49" spans="1:14" ht="1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8"/>
      <c r="K49" s="8"/>
      <c r="L49" s="3"/>
      <c r="M49" s="3"/>
      <c r="N49" s="3"/>
    </row>
    <row r="50" spans="1:14" ht="53.25" customHeight="1" x14ac:dyDescent="0.3">
      <c r="A50" s="3"/>
      <c r="B50" s="3"/>
      <c r="C50" s="114"/>
      <c r="D50" s="3"/>
      <c r="E50" s="3"/>
      <c r="F50" s="3"/>
      <c r="G50" s="3"/>
      <c r="H50" s="3"/>
      <c r="I50" s="3"/>
      <c r="J50" s="8"/>
      <c r="K50" s="8"/>
      <c r="L50" s="3"/>
      <c r="M50" s="3"/>
      <c r="N50" s="3"/>
    </row>
    <row r="51" spans="1:14" ht="1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8"/>
      <c r="K51" s="8"/>
      <c r="L51" s="3"/>
      <c r="M51" s="3"/>
      <c r="N51" s="3"/>
    </row>
    <row r="52" spans="1:14" ht="1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8"/>
      <c r="K53" s="8"/>
      <c r="L53" s="3"/>
      <c r="M53" s="3"/>
      <c r="N53" s="3"/>
    </row>
    <row r="54" spans="1:14" ht="1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8"/>
      <c r="K54" s="8"/>
      <c r="L54" s="3"/>
      <c r="M54" s="3"/>
      <c r="N54" s="3"/>
    </row>
    <row r="55" spans="1:14" ht="1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8"/>
      <c r="K56" s="8"/>
      <c r="L56" s="3"/>
      <c r="M56" s="3"/>
      <c r="N56" s="3"/>
    </row>
    <row r="57" spans="1:14" ht="1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8"/>
      <c r="K58" s="8"/>
      <c r="L58" s="3"/>
      <c r="M58" s="3"/>
      <c r="N58" s="3"/>
    </row>
    <row r="59" spans="1:14" ht="1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5.75" customHeight="1" x14ac:dyDescent="0.3"/>
    <row r="71" spans="1:14" ht="15.75" customHeight="1" x14ac:dyDescent="0.3"/>
    <row r="72" spans="1:14" ht="21.75" customHeight="1" x14ac:dyDescent="0.3">
      <c r="B72" s="190" t="s">
        <v>84</v>
      </c>
      <c r="C72" s="190"/>
      <c r="D72" s="190"/>
      <c r="E72" s="190"/>
      <c r="F72" s="190"/>
      <c r="G72" s="190"/>
      <c r="H72" s="190"/>
      <c r="I72" s="190"/>
    </row>
    <row r="73" spans="1:14" ht="19.5" customHeight="1" x14ac:dyDescent="0.3">
      <c r="B73" s="29" t="s">
        <v>85</v>
      </c>
      <c r="C73" s="29" t="s">
        <v>86</v>
      </c>
      <c r="D73" s="29" t="s">
        <v>87</v>
      </c>
      <c r="E73" s="29" t="s">
        <v>88</v>
      </c>
      <c r="F73" s="29" t="s">
        <v>89</v>
      </c>
      <c r="G73" s="29" t="s">
        <v>90</v>
      </c>
      <c r="H73" s="29" t="s">
        <v>18</v>
      </c>
    </row>
    <row r="74" spans="1:14" ht="18" customHeight="1" x14ac:dyDescent="0.3">
      <c r="B74" s="30" t="s">
        <v>91</v>
      </c>
      <c r="C74" s="31">
        <v>229</v>
      </c>
      <c r="D74" s="32">
        <v>57.2</v>
      </c>
      <c r="E74" s="32">
        <v>57.2</v>
      </c>
      <c r="F74" s="32">
        <v>57.2</v>
      </c>
      <c r="G74" s="32">
        <v>57.2</v>
      </c>
      <c r="H74" s="33" t="s">
        <v>92</v>
      </c>
    </row>
    <row r="75" spans="1:14" ht="18" customHeight="1" x14ac:dyDescent="0.3">
      <c r="B75" s="30" t="s">
        <v>93</v>
      </c>
      <c r="C75" s="31">
        <v>120</v>
      </c>
      <c r="D75" s="32">
        <v>30</v>
      </c>
      <c r="E75" s="32">
        <v>30</v>
      </c>
      <c r="F75" s="32">
        <v>30</v>
      </c>
      <c r="G75" s="32">
        <v>30</v>
      </c>
      <c r="H75" s="33" t="s">
        <v>94</v>
      </c>
    </row>
    <row r="76" spans="1:14" ht="15.75" customHeight="1" x14ac:dyDescent="0.3"/>
    <row r="77" spans="1:14" ht="15.75" customHeight="1" x14ac:dyDescent="0.3">
      <c r="B77" s="191" t="s">
        <v>95</v>
      </c>
      <c r="C77" s="191"/>
      <c r="D77" s="191"/>
      <c r="E77" s="191"/>
      <c r="F77" s="191"/>
      <c r="G77" s="191"/>
      <c r="H77" s="191"/>
      <c r="I77" s="191"/>
    </row>
    <row r="78" spans="1:14" ht="15.75" customHeight="1" x14ac:dyDescent="0.3">
      <c r="B78" s="191"/>
      <c r="C78" s="191"/>
      <c r="D78" s="191"/>
      <c r="E78" s="191"/>
      <c r="F78" s="191"/>
      <c r="G78" s="191"/>
      <c r="H78" s="191"/>
      <c r="I78" s="191"/>
    </row>
    <row r="79" spans="1:14" ht="15.75" customHeight="1" x14ac:dyDescent="0.3"/>
    <row r="80" spans="1:1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4">
    <mergeCell ref="B2:I2"/>
    <mergeCell ref="B4:I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1:I11"/>
    <mergeCell ref="B12:B13"/>
    <mergeCell ref="C12:C13"/>
    <mergeCell ref="D12:D13"/>
    <mergeCell ref="E12:E13"/>
    <mergeCell ref="F12:F13"/>
    <mergeCell ref="I12:I13"/>
    <mergeCell ref="B14:I14"/>
    <mergeCell ref="B15:I15"/>
    <mergeCell ref="G16:G17"/>
    <mergeCell ref="H16:H17"/>
    <mergeCell ref="B19:I19"/>
    <mergeCell ref="B20:I20"/>
    <mergeCell ref="H21:H22"/>
    <mergeCell ref="B23:I23"/>
    <mergeCell ref="B26:I26"/>
    <mergeCell ref="B27:I27"/>
    <mergeCell ref="B72:I72"/>
    <mergeCell ref="B77:I78"/>
    <mergeCell ref="G28:G29"/>
    <mergeCell ref="H37:H39"/>
    <mergeCell ref="B41:I41"/>
    <mergeCell ref="B42:I42"/>
    <mergeCell ref="H43:H45"/>
    <mergeCell ref="B47:F47"/>
    <mergeCell ref="H28:H29"/>
    <mergeCell ref="B30:I30"/>
    <mergeCell ref="B32:I32"/>
    <mergeCell ref="B34:I34"/>
    <mergeCell ref="B36:I36"/>
  </mergeCells>
  <printOptions horizontalCentered="1"/>
  <pageMargins left="0.4" right="0.4" top="0.5" bottom="0.5" header="0" footer="0"/>
  <pageSetup paperSize="9" fitToHeight="0" orientation="landscape" horizontalDpi="300" verticalDpi="300"/>
  <headerFooter>
    <oddHeader>&amp;C 1f4e78Primelaze Meditech — Unified FY 26-27 Sales Dashboard</oddHeader>
    <oddFooter>&amp;L Confidential&amp;R 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0"/>
  <sheetViews>
    <sheetView showGridLines="0" topLeftCell="A14" zoomScaleNormal="100" workbookViewId="0"/>
  </sheetViews>
  <sheetFormatPr defaultColWidth="8.6640625" defaultRowHeight="14.4" x14ac:dyDescent="0.3"/>
  <cols>
    <col min="1" max="1" width="2" customWidth="1"/>
    <col min="2" max="2" width="5" customWidth="1"/>
    <col min="3" max="3" width="13" customWidth="1"/>
    <col min="4" max="4" width="18" customWidth="1"/>
    <col min="5" max="5" width="9" customWidth="1"/>
    <col min="6" max="6" width="46" customWidth="1"/>
    <col min="7" max="7" width="50" customWidth="1"/>
    <col min="8" max="8" width="13" customWidth="1"/>
  </cols>
  <sheetData>
    <row r="2" spans="2:8" ht="30" customHeight="1" x14ac:dyDescent="0.3">
      <c r="B2" s="209" t="s">
        <v>96</v>
      </c>
      <c r="C2" s="209"/>
      <c r="D2" s="209"/>
      <c r="E2" s="209"/>
      <c r="F2" s="209"/>
      <c r="G2" s="209"/>
      <c r="H2" s="209"/>
    </row>
    <row r="4" spans="2:8" ht="33.75" customHeight="1" x14ac:dyDescent="0.3">
      <c r="B4" s="210" t="s">
        <v>97</v>
      </c>
      <c r="C4" s="210"/>
      <c r="D4" s="210"/>
      <c r="E4" s="210"/>
      <c r="F4" s="210"/>
      <c r="G4" s="210"/>
      <c r="H4" s="210"/>
    </row>
    <row r="6" spans="2:8" ht="21.75" customHeight="1" x14ac:dyDescent="0.3">
      <c r="B6" s="29" t="s">
        <v>11</v>
      </c>
      <c r="C6" s="29" t="s">
        <v>98</v>
      </c>
      <c r="D6" s="29" t="s">
        <v>99</v>
      </c>
      <c r="E6" s="29" t="s">
        <v>100</v>
      </c>
      <c r="F6" s="29" t="s">
        <v>101</v>
      </c>
      <c r="G6" s="29" t="s">
        <v>102</v>
      </c>
      <c r="H6" s="29" t="s">
        <v>103</v>
      </c>
    </row>
    <row r="7" spans="2:8" ht="33" customHeight="1" x14ac:dyDescent="0.3">
      <c r="B7" s="35">
        <v>1</v>
      </c>
      <c r="C7" s="36" t="s">
        <v>104</v>
      </c>
      <c r="D7" s="37" t="s">
        <v>105</v>
      </c>
      <c r="E7" s="38" t="s">
        <v>106</v>
      </c>
      <c r="F7" s="37" t="s">
        <v>107</v>
      </c>
      <c r="G7" s="37" t="s">
        <v>108</v>
      </c>
      <c r="H7" s="39" t="s">
        <v>109</v>
      </c>
    </row>
    <row r="8" spans="2:8" ht="33" customHeight="1" x14ac:dyDescent="0.3">
      <c r="B8" s="35">
        <v>2</v>
      </c>
      <c r="C8" s="36" t="s">
        <v>104</v>
      </c>
      <c r="D8" s="37" t="s">
        <v>110</v>
      </c>
      <c r="E8" s="38" t="s">
        <v>111</v>
      </c>
      <c r="F8" s="37" t="s">
        <v>112</v>
      </c>
      <c r="G8" s="37" t="s">
        <v>113</v>
      </c>
      <c r="H8" s="39" t="s">
        <v>109</v>
      </c>
    </row>
    <row r="9" spans="2:8" ht="33" customHeight="1" x14ac:dyDescent="0.3">
      <c r="B9" s="35">
        <v>3</v>
      </c>
      <c r="C9" s="36" t="s">
        <v>104</v>
      </c>
      <c r="D9" s="37" t="s">
        <v>114</v>
      </c>
      <c r="E9" s="38" t="s">
        <v>115</v>
      </c>
      <c r="F9" s="37" t="s">
        <v>116</v>
      </c>
      <c r="G9" s="37" t="s">
        <v>117</v>
      </c>
      <c r="H9" s="39" t="s">
        <v>109</v>
      </c>
    </row>
    <row r="10" spans="2:8" ht="33" customHeight="1" x14ac:dyDescent="0.3">
      <c r="B10" s="35">
        <v>4</v>
      </c>
      <c r="C10" s="36" t="s">
        <v>104</v>
      </c>
      <c r="D10" s="37" t="s">
        <v>118</v>
      </c>
      <c r="E10" s="38" t="s">
        <v>119</v>
      </c>
      <c r="F10" s="37" t="s">
        <v>120</v>
      </c>
      <c r="G10" s="37" t="s">
        <v>121</v>
      </c>
      <c r="H10" s="39" t="s">
        <v>109</v>
      </c>
    </row>
    <row r="11" spans="2:8" ht="30" customHeight="1" x14ac:dyDescent="0.3">
      <c r="B11" s="35">
        <v>5</v>
      </c>
      <c r="C11" s="36" t="s">
        <v>104</v>
      </c>
      <c r="D11" s="37" t="s">
        <v>122</v>
      </c>
      <c r="E11" s="38" t="s">
        <v>123</v>
      </c>
      <c r="F11" s="37" t="s">
        <v>124</v>
      </c>
      <c r="G11" s="37" t="s">
        <v>125</v>
      </c>
      <c r="H11" s="39" t="s">
        <v>109</v>
      </c>
    </row>
    <row r="12" spans="2:8" ht="33" customHeight="1" x14ac:dyDescent="0.3">
      <c r="B12" s="35">
        <v>6</v>
      </c>
      <c r="C12" s="36" t="s">
        <v>104</v>
      </c>
      <c r="D12" s="37" t="s">
        <v>126</v>
      </c>
      <c r="E12" s="38" t="s">
        <v>127</v>
      </c>
      <c r="F12" s="37" t="s">
        <v>128</v>
      </c>
      <c r="G12" s="37" t="s">
        <v>129</v>
      </c>
      <c r="H12" s="39" t="s">
        <v>109</v>
      </c>
    </row>
    <row r="13" spans="2:8" ht="43.5" customHeight="1" x14ac:dyDescent="0.3">
      <c r="B13" s="35">
        <v>7</v>
      </c>
      <c r="C13" s="36" t="s">
        <v>104</v>
      </c>
      <c r="D13" s="37" t="s">
        <v>130</v>
      </c>
      <c r="E13" s="38" t="s">
        <v>131</v>
      </c>
      <c r="F13" s="37" t="s">
        <v>132</v>
      </c>
      <c r="G13" s="37" t="s">
        <v>133</v>
      </c>
      <c r="H13" s="39" t="s">
        <v>109</v>
      </c>
    </row>
    <row r="14" spans="2:8" ht="43.5" customHeight="1" x14ac:dyDescent="0.3">
      <c r="B14" s="35">
        <v>8</v>
      </c>
      <c r="C14" s="36" t="s">
        <v>104</v>
      </c>
      <c r="D14" s="37" t="s">
        <v>134</v>
      </c>
      <c r="E14" s="38" t="s">
        <v>135</v>
      </c>
      <c r="F14" s="37" t="s">
        <v>136</v>
      </c>
      <c r="G14" s="37" t="s">
        <v>137</v>
      </c>
      <c r="H14" s="39" t="s">
        <v>109</v>
      </c>
    </row>
    <row r="15" spans="2:8" ht="43.5" customHeight="1" x14ac:dyDescent="0.3">
      <c r="B15" s="40">
        <v>9</v>
      </c>
      <c r="C15" s="41" t="s">
        <v>138</v>
      </c>
      <c r="D15" s="42" t="s">
        <v>139</v>
      </c>
      <c r="E15" s="43" t="s">
        <v>140</v>
      </c>
      <c r="F15" s="42" t="s">
        <v>141</v>
      </c>
      <c r="G15" s="42" t="s">
        <v>142</v>
      </c>
      <c r="H15" s="39" t="s">
        <v>109</v>
      </c>
    </row>
    <row r="16" spans="2:8" ht="43.5" customHeight="1" x14ac:dyDescent="0.3">
      <c r="B16" s="40">
        <v>10</v>
      </c>
      <c r="C16" s="41" t="s">
        <v>138</v>
      </c>
      <c r="D16" s="42" t="s">
        <v>143</v>
      </c>
      <c r="E16" s="43" t="s">
        <v>144</v>
      </c>
      <c r="F16" s="42" t="s">
        <v>145</v>
      </c>
      <c r="G16" s="42" t="s">
        <v>146</v>
      </c>
      <c r="H16" s="39" t="s">
        <v>109</v>
      </c>
    </row>
    <row r="17" spans="2:8" ht="54.75" customHeight="1" x14ac:dyDescent="0.3">
      <c r="B17" s="40">
        <v>11</v>
      </c>
      <c r="C17" s="41" t="s">
        <v>138</v>
      </c>
      <c r="D17" s="42" t="s">
        <v>147</v>
      </c>
      <c r="E17" s="43" t="s">
        <v>148</v>
      </c>
      <c r="F17" s="42" t="s">
        <v>149</v>
      </c>
      <c r="G17" s="42" t="s">
        <v>150</v>
      </c>
      <c r="H17" s="39" t="s">
        <v>109</v>
      </c>
    </row>
    <row r="18" spans="2:8" ht="54.75" customHeight="1" x14ac:dyDescent="0.3">
      <c r="B18" s="40">
        <v>12</v>
      </c>
      <c r="C18" s="41" t="s">
        <v>138</v>
      </c>
      <c r="D18" s="42" t="s">
        <v>151</v>
      </c>
      <c r="E18" s="43" t="s">
        <v>152</v>
      </c>
      <c r="F18" s="42" t="s">
        <v>153</v>
      </c>
      <c r="G18" s="42" t="s">
        <v>154</v>
      </c>
      <c r="H18" s="44" t="s">
        <v>155</v>
      </c>
    </row>
    <row r="19" spans="2:8" ht="33" customHeight="1" x14ac:dyDescent="0.3">
      <c r="B19" s="40">
        <v>13</v>
      </c>
      <c r="C19" s="41" t="s">
        <v>138</v>
      </c>
      <c r="D19" s="42" t="s">
        <v>156</v>
      </c>
      <c r="E19" s="43" t="s">
        <v>157</v>
      </c>
      <c r="F19" s="42" t="s">
        <v>158</v>
      </c>
      <c r="G19" s="42" t="s">
        <v>159</v>
      </c>
      <c r="H19" s="39" t="s">
        <v>109</v>
      </c>
    </row>
    <row r="20" spans="2:8" ht="66" customHeight="1" x14ac:dyDescent="0.3">
      <c r="B20" s="40">
        <v>14</v>
      </c>
      <c r="C20" s="41" t="s">
        <v>138</v>
      </c>
      <c r="D20" s="42" t="s">
        <v>160</v>
      </c>
      <c r="E20" s="43" t="s">
        <v>161</v>
      </c>
      <c r="F20" s="42" t="s">
        <v>162</v>
      </c>
      <c r="G20" s="42" t="s">
        <v>163</v>
      </c>
      <c r="H20" s="44" t="s">
        <v>155</v>
      </c>
    </row>
    <row r="21" spans="2:8" ht="33" customHeight="1" x14ac:dyDescent="0.3">
      <c r="B21" s="40">
        <v>15</v>
      </c>
      <c r="C21" s="41" t="s">
        <v>138</v>
      </c>
      <c r="D21" s="42" t="s">
        <v>164</v>
      </c>
      <c r="E21" s="43" t="s">
        <v>157</v>
      </c>
      <c r="F21" s="42" t="s">
        <v>165</v>
      </c>
      <c r="G21" s="42" t="s">
        <v>166</v>
      </c>
      <c r="H21" s="39" t="s">
        <v>109</v>
      </c>
    </row>
    <row r="22" spans="2:8" ht="54.75" customHeight="1" x14ac:dyDescent="0.3">
      <c r="B22" s="40">
        <v>16</v>
      </c>
      <c r="C22" s="41" t="s">
        <v>138</v>
      </c>
      <c r="D22" s="42" t="s">
        <v>167</v>
      </c>
      <c r="E22" s="43" t="s">
        <v>168</v>
      </c>
      <c r="F22" s="42" t="s">
        <v>169</v>
      </c>
      <c r="G22" s="42" t="s">
        <v>170</v>
      </c>
      <c r="H22" s="39" t="s">
        <v>109</v>
      </c>
    </row>
    <row r="23" spans="2:8" ht="43.5" customHeight="1" x14ac:dyDescent="0.3">
      <c r="B23" s="40">
        <v>17</v>
      </c>
      <c r="C23" s="41" t="s">
        <v>138</v>
      </c>
      <c r="D23" s="42" t="s">
        <v>171</v>
      </c>
      <c r="E23" s="43" t="s">
        <v>172</v>
      </c>
      <c r="F23" s="42" t="s">
        <v>173</v>
      </c>
      <c r="G23" s="42" t="s">
        <v>174</v>
      </c>
      <c r="H23" s="39" t="s">
        <v>109</v>
      </c>
    </row>
    <row r="24" spans="2:8" ht="43.5" customHeight="1" x14ac:dyDescent="0.3">
      <c r="B24" s="40">
        <v>18</v>
      </c>
      <c r="C24" s="41" t="s">
        <v>138</v>
      </c>
      <c r="D24" s="42" t="s">
        <v>175</v>
      </c>
      <c r="E24" s="43" t="s">
        <v>176</v>
      </c>
      <c r="F24" s="42" t="s">
        <v>177</v>
      </c>
      <c r="G24" s="42" t="s">
        <v>178</v>
      </c>
      <c r="H24" s="44" t="s">
        <v>155</v>
      </c>
    </row>
    <row r="25" spans="2:8" ht="43.5" customHeight="1" x14ac:dyDescent="0.3">
      <c r="B25" s="40">
        <v>19</v>
      </c>
      <c r="C25" s="41" t="s">
        <v>138</v>
      </c>
      <c r="D25" s="42" t="s">
        <v>179</v>
      </c>
      <c r="E25" s="43" t="s">
        <v>180</v>
      </c>
      <c r="F25" s="42" t="s">
        <v>181</v>
      </c>
      <c r="G25" s="42" t="s">
        <v>182</v>
      </c>
      <c r="H25" s="44" t="s">
        <v>155</v>
      </c>
    </row>
    <row r="26" spans="2:8" ht="66" customHeight="1" x14ac:dyDescent="0.3">
      <c r="B26" s="40">
        <v>20</v>
      </c>
      <c r="C26" s="41" t="s">
        <v>138</v>
      </c>
      <c r="D26" s="42" t="s">
        <v>183</v>
      </c>
      <c r="E26" s="43" t="s">
        <v>184</v>
      </c>
      <c r="F26" s="42" t="s">
        <v>185</v>
      </c>
      <c r="G26" s="42" t="s">
        <v>186</v>
      </c>
      <c r="H26" s="39" t="s">
        <v>109</v>
      </c>
    </row>
    <row r="27" spans="2:8" ht="54.75" customHeight="1" x14ac:dyDescent="0.3">
      <c r="B27" s="45">
        <v>21</v>
      </c>
      <c r="C27" s="46" t="s">
        <v>187</v>
      </c>
      <c r="D27" s="47" t="s">
        <v>188</v>
      </c>
      <c r="E27" s="48" t="s">
        <v>189</v>
      </c>
      <c r="F27" s="47" t="s">
        <v>190</v>
      </c>
      <c r="G27" s="47" t="s">
        <v>191</v>
      </c>
      <c r="H27" s="49" t="s">
        <v>192</v>
      </c>
    </row>
    <row r="29" spans="2:8" ht="15" customHeight="1" x14ac:dyDescent="0.3">
      <c r="B29" s="211" t="s">
        <v>193</v>
      </c>
      <c r="C29" s="211"/>
      <c r="D29" s="211"/>
      <c r="E29" s="211"/>
      <c r="F29" s="211"/>
      <c r="G29" s="211"/>
      <c r="H29" s="211"/>
    </row>
    <row r="30" spans="2:8" ht="15" customHeight="1" x14ac:dyDescent="0.3">
      <c r="B30" s="211"/>
      <c r="C30" s="211"/>
      <c r="D30" s="211"/>
      <c r="E30" s="211"/>
      <c r="F30" s="211"/>
      <c r="G30" s="211"/>
      <c r="H30" s="211"/>
    </row>
  </sheetData>
  <mergeCells count="3">
    <mergeCell ref="B2:H2"/>
    <mergeCell ref="B4:H4"/>
    <mergeCell ref="B29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000"/>
  <sheetViews>
    <sheetView zoomScaleNormal="100" workbookViewId="0"/>
  </sheetViews>
  <sheetFormatPr defaultColWidth="14.44140625" defaultRowHeight="14.4" x14ac:dyDescent="0.3"/>
  <cols>
    <col min="1" max="2" width="3" customWidth="1"/>
    <col min="3" max="3" width="26" customWidth="1"/>
    <col min="4" max="4" width="24" customWidth="1"/>
    <col min="5" max="5" width="14" customWidth="1"/>
    <col min="6" max="6" width="18" customWidth="1"/>
    <col min="7" max="7" width="22" customWidth="1"/>
    <col min="8" max="10" width="12" hidden="1" customWidth="1"/>
    <col min="11" max="11" width="28" customWidth="1"/>
    <col min="12" max="12" width="33.109375" customWidth="1"/>
    <col min="13" max="26" width="8.6640625" customWidth="1"/>
  </cols>
  <sheetData>
    <row r="1" spans="1:12" ht="15" customHeight="1" x14ac:dyDescent="0.3"/>
    <row r="2" spans="1:12" ht="24" customHeight="1" x14ac:dyDescent="0.3">
      <c r="B2" s="214" t="s">
        <v>194</v>
      </c>
      <c r="C2" s="214"/>
      <c r="D2" s="214"/>
      <c r="E2" s="214"/>
      <c r="F2" s="214"/>
      <c r="G2" s="214"/>
      <c r="H2" s="214"/>
      <c r="I2" s="214"/>
      <c r="J2" s="214"/>
      <c r="K2" s="214"/>
    </row>
    <row r="3" spans="1:12" ht="24" customHeight="1" x14ac:dyDescent="0.3">
      <c r="B3" s="214"/>
      <c r="C3" s="214"/>
      <c r="D3" s="214"/>
      <c r="E3" s="214"/>
      <c r="F3" s="214"/>
      <c r="G3" s="214"/>
      <c r="H3" s="214"/>
      <c r="I3" s="214"/>
      <c r="J3" s="214"/>
      <c r="K3" s="214"/>
    </row>
    <row r="4" spans="1:12" ht="18" customHeight="1" x14ac:dyDescent="0.3">
      <c r="B4" s="215" t="s">
        <v>195</v>
      </c>
      <c r="C4" s="215"/>
      <c r="D4" s="215"/>
      <c r="E4" s="215"/>
      <c r="F4" s="215"/>
      <c r="G4" s="215"/>
      <c r="H4" s="215"/>
      <c r="I4" s="215"/>
      <c r="J4" s="215"/>
      <c r="K4" s="215"/>
    </row>
    <row r="5" spans="1:12" ht="1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24" customHeight="1" x14ac:dyDescent="0.3">
      <c r="A6" s="3"/>
      <c r="B6" s="195" t="s">
        <v>196</v>
      </c>
      <c r="C6" s="195"/>
      <c r="D6" s="195"/>
      <c r="E6" s="195"/>
      <c r="F6" s="195"/>
      <c r="G6" s="195"/>
      <c r="H6" s="3"/>
      <c r="I6" s="3"/>
      <c r="J6" s="3"/>
      <c r="K6" s="3"/>
    </row>
    <row r="7" spans="1:12" ht="25.5" customHeight="1" x14ac:dyDescent="0.3">
      <c r="A7" s="3"/>
      <c r="B7" s="50" t="s">
        <v>11</v>
      </c>
      <c r="C7" s="50" t="s">
        <v>197</v>
      </c>
      <c r="D7" s="50" t="s">
        <v>198</v>
      </c>
      <c r="E7" s="50" t="s">
        <v>14</v>
      </c>
      <c r="F7" s="50" t="s">
        <v>15</v>
      </c>
      <c r="G7" s="50" t="s">
        <v>199</v>
      </c>
      <c r="H7" s="3"/>
      <c r="I7" s="3"/>
      <c r="J7" s="3"/>
      <c r="K7" s="3"/>
      <c r="L7" s="51" t="s">
        <v>18</v>
      </c>
    </row>
    <row r="8" spans="1:12" ht="25.5" customHeight="1" x14ac:dyDescent="0.3">
      <c r="A8" s="3"/>
      <c r="B8" s="52">
        <v>1</v>
      </c>
      <c r="C8" s="53" t="s">
        <v>23</v>
      </c>
      <c r="D8" s="54" t="s">
        <v>24</v>
      </c>
      <c r="E8" s="54" t="s">
        <v>25</v>
      </c>
      <c r="F8" s="54" t="s">
        <v>26</v>
      </c>
      <c r="G8" s="54" t="s">
        <v>200</v>
      </c>
      <c r="H8" s="3"/>
      <c r="I8" s="3"/>
      <c r="J8" s="3"/>
      <c r="K8" s="3"/>
      <c r="L8" s="55" t="s">
        <v>201</v>
      </c>
    </row>
    <row r="9" spans="1:12" ht="25.5" customHeight="1" x14ac:dyDescent="0.3">
      <c r="A9" s="3"/>
      <c r="B9" s="52">
        <v>2</v>
      </c>
      <c r="C9" s="53" t="s">
        <v>28</v>
      </c>
      <c r="D9" s="54" t="s">
        <v>29</v>
      </c>
      <c r="E9" s="54" t="s">
        <v>30</v>
      </c>
      <c r="F9" s="54" t="s">
        <v>23</v>
      </c>
      <c r="G9" s="54" t="s">
        <v>200</v>
      </c>
      <c r="H9" s="3"/>
      <c r="I9" s="3"/>
      <c r="J9" s="3"/>
      <c r="K9" s="3"/>
      <c r="L9" s="55" t="s">
        <v>202</v>
      </c>
    </row>
    <row r="10" spans="1:12" ht="25.5" customHeight="1" x14ac:dyDescent="0.3">
      <c r="A10" s="3"/>
      <c r="B10" s="52">
        <v>3</v>
      </c>
      <c r="C10" s="53" t="s">
        <v>33</v>
      </c>
      <c r="D10" s="54" t="s">
        <v>24</v>
      </c>
      <c r="E10" s="54" t="s">
        <v>34</v>
      </c>
      <c r="F10" s="54" t="s">
        <v>26</v>
      </c>
      <c r="G10" s="54" t="s">
        <v>203</v>
      </c>
      <c r="H10" s="3"/>
      <c r="I10" s="3"/>
      <c r="J10" s="3"/>
      <c r="K10" s="3"/>
      <c r="L10" s="55" t="s">
        <v>204</v>
      </c>
    </row>
    <row r="11" spans="1:12" ht="25.5" customHeight="1" x14ac:dyDescent="0.3">
      <c r="A11" s="3"/>
      <c r="B11" s="56">
        <v>4</v>
      </c>
      <c r="C11" s="57" t="s">
        <v>36</v>
      </c>
      <c r="D11" s="58" t="s">
        <v>29</v>
      </c>
      <c r="E11" s="58" t="s">
        <v>34</v>
      </c>
      <c r="F11" s="58" t="s">
        <v>33</v>
      </c>
      <c r="G11" s="58" t="s">
        <v>203</v>
      </c>
      <c r="H11" s="3"/>
      <c r="I11" s="3"/>
      <c r="J11" s="3"/>
      <c r="K11" s="3" t="s">
        <v>205</v>
      </c>
      <c r="L11" s="55" t="s">
        <v>206</v>
      </c>
    </row>
    <row r="12" spans="1:12" ht="25.5" customHeight="1" x14ac:dyDescent="0.3">
      <c r="A12" s="3"/>
      <c r="B12" s="52">
        <v>5</v>
      </c>
      <c r="C12" s="53" t="s">
        <v>39</v>
      </c>
      <c r="D12" s="54" t="s">
        <v>29</v>
      </c>
      <c r="E12" s="54" t="s">
        <v>40</v>
      </c>
      <c r="F12" s="54" t="s">
        <v>33</v>
      </c>
      <c r="G12" s="54" t="s">
        <v>207</v>
      </c>
      <c r="H12" s="3"/>
      <c r="I12" s="3"/>
      <c r="J12" s="3"/>
      <c r="K12" s="3"/>
      <c r="L12" s="55" t="s">
        <v>208</v>
      </c>
    </row>
    <row r="13" spans="1:12" ht="25.5" customHeight="1" x14ac:dyDescent="0.3">
      <c r="A13" s="3"/>
      <c r="B13" s="52">
        <v>6</v>
      </c>
      <c r="C13" s="53" t="s">
        <v>44</v>
      </c>
      <c r="D13" s="54" t="s">
        <v>45</v>
      </c>
      <c r="E13" s="54" t="s">
        <v>46</v>
      </c>
      <c r="F13" s="54" t="s">
        <v>26</v>
      </c>
      <c r="G13" s="54" t="s">
        <v>209</v>
      </c>
      <c r="H13" s="3"/>
      <c r="I13" s="3"/>
      <c r="J13" s="3"/>
      <c r="K13" s="3"/>
      <c r="L13" s="55" t="s">
        <v>210</v>
      </c>
    </row>
    <row r="14" spans="1:12" ht="25.5" customHeight="1" x14ac:dyDescent="0.3">
      <c r="A14" s="3"/>
      <c r="B14" s="56">
        <v>7</v>
      </c>
      <c r="C14" s="57" t="s">
        <v>48</v>
      </c>
      <c r="D14" s="58" t="s">
        <v>49</v>
      </c>
      <c r="E14" s="58" t="s">
        <v>46</v>
      </c>
      <c r="F14" s="58" t="s">
        <v>44</v>
      </c>
      <c r="G14" s="58" t="s">
        <v>209</v>
      </c>
      <c r="H14" s="3"/>
      <c r="I14" s="3"/>
      <c r="J14" s="3"/>
      <c r="K14" s="3" t="s">
        <v>211</v>
      </c>
      <c r="L14" s="55" t="s">
        <v>212</v>
      </c>
    </row>
    <row r="15" spans="1:12" ht="25.5" customHeight="1" x14ac:dyDescent="0.3">
      <c r="A15" s="3"/>
      <c r="B15" s="52">
        <v>8</v>
      </c>
      <c r="C15" s="53" t="s">
        <v>52</v>
      </c>
      <c r="D15" s="54" t="s">
        <v>29</v>
      </c>
      <c r="E15" s="54" t="s">
        <v>53</v>
      </c>
      <c r="F15" s="54" t="s">
        <v>26</v>
      </c>
      <c r="G15" s="54" t="s">
        <v>213</v>
      </c>
      <c r="H15" s="3"/>
      <c r="I15" s="3"/>
      <c r="J15" s="3"/>
      <c r="K15" s="3"/>
      <c r="L15" s="55" t="s">
        <v>214</v>
      </c>
    </row>
    <row r="16" spans="1:12" ht="25.5" customHeight="1" x14ac:dyDescent="0.3">
      <c r="A16" s="3"/>
      <c r="B16" s="56">
        <v>9</v>
      </c>
      <c r="C16" s="57" t="s">
        <v>56</v>
      </c>
      <c r="D16" s="58" t="s">
        <v>29</v>
      </c>
      <c r="E16" s="58" t="s">
        <v>57</v>
      </c>
      <c r="F16" s="58" t="s">
        <v>26</v>
      </c>
      <c r="G16" s="58" t="s">
        <v>215</v>
      </c>
      <c r="H16" s="3"/>
      <c r="I16" s="3"/>
      <c r="J16" s="3"/>
      <c r="K16" s="3" t="s">
        <v>216</v>
      </c>
      <c r="L16" s="55" t="s">
        <v>217</v>
      </c>
    </row>
    <row r="17" spans="1:12" ht="25.5" customHeight="1" x14ac:dyDescent="0.3">
      <c r="A17" s="3"/>
      <c r="B17" s="52">
        <v>10</v>
      </c>
      <c r="C17" s="53" t="s">
        <v>60</v>
      </c>
      <c r="D17" s="54" t="s">
        <v>29</v>
      </c>
      <c r="E17" s="54" t="s">
        <v>61</v>
      </c>
      <c r="F17" s="54" t="s">
        <v>26</v>
      </c>
      <c r="G17" s="54" t="s">
        <v>218</v>
      </c>
      <c r="H17" s="3"/>
      <c r="I17" s="3"/>
      <c r="J17" s="3"/>
      <c r="K17" s="3"/>
      <c r="L17" s="55" t="s">
        <v>219</v>
      </c>
    </row>
    <row r="18" spans="1:12" ht="25.5" customHeight="1" x14ac:dyDescent="0.3">
      <c r="A18" s="3"/>
      <c r="B18" s="56">
        <v>11</v>
      </c>
      <c r="C18" s="57" t="s">
        <v>64</v>
      </c>
      <c r="D18" s="58" t="s">
        <v>29</v>
      </c>
      <c r="E18" s="58" t="s">
        <v>65</v>
      </c>
      <c r="F18" s="58" t="s">
        <v>26</v>
      </c>
      <c r="G18" s="58" t="s">
        <v>220</v>
      </c>
      <c r="H18" s="3"/>
      <c r="I18" s="3"/>
      <c r="J18" s="3"/>
      <c r="K18" s="3" t="s">
        <v>221</v>
      </c>
      <c r="L18" s="55" t="s">
        <v>222</v>
      </c>
    </row>
    <row r="19" spans="1:12" ht="25.5" customHeight="1" x14ac:dyDescent="0.3">
      <c r="A19" s="3"/>
      <c r="B19" s="52">
        <v>12</v>
      </c>
      <c r="C19" s="53" t="s">
        <v>67</v>
      </c>
      <c r="D19" s="54" t="s">
        <v>223</v>
      </c>
      <c r="E19" s="54" t="s">
        <v>65</v>
      </c>
      <c r="F19" s="54" t="s">
        <v>26</v>
      </c>
      <c r="G19" s="54" t="s">
        <v>220</v>
      </c>
      <c r="H19" s="3"/>
      <c r="I19" s="3"/>
      <c r="J19" s="3"/>
      <c r="K19" s="3"/>
      <c r="L19" s="55" t="s">
        <v>224</v>
      </c>
    </row>
    <row r="20" spans="1:12" ht="25.5" customHeight="1" x14ac:dyDescent="0.3">
      <c r="A20" s="3"/>
      <c r="B20" s="56">
        <v>13</v>
      </c>
      <c r="C20" s="57" t="s">
        <v>70</v>
      </c>
      <c r="D20" s="58" t="s">
        <v>29</v>
      </c>
      <c r="E20" s="58" t="s">
        <v>65</v>
      </c>
      <c r="F20" s="58" t="s">
        <v>26</v>
      </c>
      <c r="G20" s="58" t="s">
        <v>220</v>
      </c>
      <c r="H20" s="3"/>
      <c r="I20" s="3"/>
      <c r="J20" s="3"/>
      <c r="K20" s="3" t="s">
        <v>225</v>
      </c>
      <c r="L20" s="55" t="s">
        <v>226</v>
      </c>
    </row>
    <row r="21" spans="1:12" ht="25.5" customHeight="1" x14ac:dyDescent="0.3">
      <c r="A21" s="3"/>
      <c r="B21" s="52">
        <v>14</v>
      </c>
      <c r="C21" s="53" t="s">
        <v>74</v>
      </c>
      <c r="D21" s="54" t="s">
        <v>24</v>
      </c>
      <c r="E21" s="54" t="s">
        <v>75</v>
      </c>
      <c r="F21" s="54" t="s">
        <v>26</v>
      </c>
      <c r="G21" s="54" t="s">
        <v>227</v>
      </c>
      <c r="H21" s="3"/>
      <c r="I21" s="3"/>
      <c r="J21" s="3"/>
      <c r="K21" s="3"/>
      <c r="L21" s="55" t="s">
        <v>228</v>
      </c>
    </row>
    <row r="22" spans="1:12" ht="25.5" customHeight="1" x14ac:dyDescent="0.3">
      <c r="A22" s="3"/>
      <c r="B22" s="52">
        <v>15</v>
      </c>
      <c r="C22" s="53" t="s">
        <v>77</v>
      </c>
      <c r="D22" s="54" t="s">
        <v>29</v>
      </c>
      <c r="E22" s="54" t="s">
        <v>75</v>
      </c>
      <c r="F22" s="54" t="s">
        <v>74</v>
      </c>
      <c r="G22" s="54" t="s">
        <v>227</v>
      </c>
      <c r="H22" s="3"/>
      <c r="I22" s="3"/>
      <c r="J22" s="3"/>
      <c r="K22" s="3"/>
      <c r="L22" s="55" t="s">
        <v>229</v>
      </c>
    </row>
    <row r="23" spans="1:12" ht="25.5" customHeight="1" x14ac:dyDescent="0.3">
      <c r="A23" s="3"/>
      <c r="B23" s="52">
        <v>16</v>
      </c>
      <c r="C23" s="53" t="s">
        <v>79</v>
      </c>
      <c r="D23" s="54" t="s">
        <v>29</v>
      </c>
      <c r="E23" s="54" t="s">
        <v>80</v>
      </c>
      <c r="F23" s="54" t="s">
        <v>74</v>
      </c>
      <c r="G23" s="54" t="s">
        <v>227</v>
      </c>
      <c r="H23" s="3"/>
      <c r="I23" s="3"/>
      <c r="J23" s="3"/>
      <c r="K23" s="3"/>
      <c r="L23" s="55" t="s">
        <v>78</v>
      </c>
    </row>
    <row r="24" spans="1:12" ht="21.75" customHeight="1" x14ac:dyDescent="0.3">
      <c r="A24" s="3"/>
      <c r="B24" s="52">
        <v>17</v>
      </c>
      <c r="C24" s="53" t="s">
        <v>230</v>
      </c>
      <c r="D24" s="54" t="s">
        <v>231</v>
      </c>
      <c r="E24" s="54" t="s">
        <v>75</v>
      </c>
      <c r="F24" s="54" t="s">
        <v>26</v>
      </c>
      <c r="G24" s="54" t="s">
        <v>227</v>
      </c>
      <c r="H24" s="3"/>
      <c r="I24" s="3"/>
      <c r="J24" s="3"/>
      <c r="K24" s="3" t="s">
        <v>232</v>
      </c>
      <c r="L24" s="55" t="s">
        <v>233</v>
      </c>
    </row>
    <row r="25" spans="1:12" ht="63.75" customHeight="1" x14ac:dyDescent="0.3">
      <c r="A25" s="3"/>
      <c r="B25" s="52">
        <v>18</v>
      </c>
      <c r="C25" s="53" t="s">
        <v>234</v>
      </c>
      <c r="D25" s="54" t="s">
        <v>29</v>
      </c>
      <c r="E25" s="54" t="s">
        <v>75</v>
      </c>
      <c r="F25" s="54" t="s">
        <v>74</v>
      </c>
      <c r="G25" s="54" t="s">
        <v>227</v>
      </c>
      <c r="H25" s="3"/>
      <c r="I25" s="3"/>
      <c r="J25" s="3"/>
      <c r="K25" s="3" t="s">
        <v>235</v>
      </c>
      <c r="L25" s="55" t="s">
        <v>236</v>
      </c>
    </row>
    <row r="26" spans="1:12" ht="21.75" customHeight="1" x14ac:dyDescent="0.3">
      <c r="A26" s="3"/>
      <c r="B26" s="195" t="s">
        <v>237</v>
      </c>
      <c r="C26" s="195"/>
      <c r="D26" s="195"/>
      <c r="E26" s="195"/>
      <c r="F26" s="195"/>
      <c r="G26" s="195"/>
      <c r="H26" s="3"/>
      <c r="I26" s="3"/>
      <c r="J26" s="3"/>
      <c r="K26" s="3"/>
    </row>
    <row r="27" spans="1:12" ht="24" customHeight="1" x14ac:dyDescent="0.3">
      <c r="A27" s="3"/>
      <c r="B27" s="212" t="s">
        <v>238</v>
      </c>
      <c r="C27" s="212"/>
      <c r="D27" s="212"/>
      <c r="E27" s="60">
        <v>12</v>
      </c>
      <c r="F27" s="213" t="s">
        <v>239</v>
      </c>
      <c r="G27" s="213"/>
      <c r="H27" s="3"/>
      <c r="I27" s="3"/>
      <c r="J27" s="3"/>
      <c r="K27" s="3"/>
    </row>
    <row r="28" spans="1:12" ht="21.75" customHeight="1" x14ac:dyDescent="0.3">
      <c r="A28" s="3"/>
      <c r="B28" s="212" t="s">
        <v>240</v>
      </c>
      <c r="C28" s="212"/>
      <c r="D28" s="212"/>
      <c r="E28" s="60">
        <v>4</v>
      </c>
      <c r="F28" s="213" t="s">
        <v>241</v>
      </c>
      <c r="G28" s="213"/>
      <c r="H28" s="3"/>
      <c r="I28" s="3"/>
      <c r="J28" s="3"/>
      <c r="K28" s="3"/>
      <c r="L28" s="62"/>
    </row>
    <row r="29" spans="1:12" ht="24" customHeight="1" x14ac:dyDescent="0.3">
      <c r="A29" s="3"/>
      <c r="B29" s="212" t="s">
        <v>242</v>
      </c>
      <c r="C29" s="212"/>
      <c r="D29" s="212"/>
      <c r="E29" s="60">
        <v>18</v>
      </c>
      <c r="F29" s="213" t="s">
        <v>243</v>
      </c>
      <c r="G29" s="213"/>
      <c r="H29" s="3"/>
      <c r="I29" s="3"/>
      <c r="J29" s="3"/>
      <c r="K29" s="3"/>
    </row>
    <row r="30" spans="1:12" ht="15" customHeight="1" x14ac:dyDescent="0.3">
      <c r="A30" s="3"/>
      <c r="B30" s="59" t="s">
        <v>244</v>
      </c>
      <c r="C30" s="63"/>
      <c r="D30" s="64"/>
      <c r="E30" s="60">
        <v>2</v>
      </c>
      <c r="F30" s="61" t="s">
        <v>245</v>
      </c>
      <c r="G30" s="3"/>
      <c r="H30" s="3"/>
      <c r="I30" s="3"/>
      <c r="J30" s="3"/>
      <c r="K30" s="3"/>
    </row>
    <row r="31" spans="1:12" ht="1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ht="1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B28:D28"/>
    <mergeCell ref="F28:G28"/>
    <mergeCell ref="B29:D29"/>
    <mergeCell ref="F29:G29"/>
    <mergeCell ref="B2:K3"/>
    <mergeCell ref="B4:K4"/>
    <mergeCell ref="B6:G6"/>
    <mergeCell ref="B26:G26"/>
    <mergeCell ref="B27:D27"/>
    <mergeCell ref="F27:G27"/>
  </mergeCells>
  <printOptions horizontalCentered="1"/>
  <pageMargins left="0.4" right="0.4" top="0.5" bottom="0.5" header="0" footer="0"/>
  <pageSetup paperSize="9" fitToHeight="0" orientation="landscape" horizontalDpi="300" verticalDpi="300"/>
  <headerFooter>
    <oddHeader>&amp;C 1f4e78Primelaze Meditech — Unified FY 26-27 Sales Dashboard</oddHeader>
    <oddFooter>&amp;L Confidential&amp;R Page &amp;P of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997"/>
  <sheetViews>
    <sheetView showGridLines="0" topLeftCell="A7" zoomScaleNormal="100" workbookViewId="0">
      <selection activeCell="I37" sqref="I37"/>
    </sheetView>
  </sheetViews>
  <sheetFormatPr defaultColWidth="14.44140625" defaultRowHeight="14.4" x14ac:dyDescent="0.3"/>
  <cols>
    <col min="1" max="1" width="3" customWidth="1"/>
    <col min="2" max="2" width="36" customWidth="1"/>
    <col min="3" max="3" width="13" customWidth="1"/>
    <col min="4" max="5" width="8.6640625" customWidth="1"/>
    <col min="6" max="6" width="27.88671875" customWidth="1"/>
    <col min="7" max="7" width="22" customWidth="1"/>
    <col min="8" max="8" width="18" customWidth="1"/>
    <col min="9" max="9" width="23.5546875" customWidth="1"/>
    <col min="10" max="26" width="8.6640625" customWidth="1"/>
  </cols>
  <sheetData>
    <row r="1" spans="2:9" ht="15" customHeight="1" x14ac:dyDescent="0.3"/>
    <row r="2" spans="2:9" ht="24" customHeight="1" x14ac:dyDescent="0.3">
      <c r="B2" s="214" t="s">
        <v>246</v>
      </c>
      <c r="C2" s="214"/>
      <c r="D2" s="214"/>
      <c r="E2" s="214"/>
      <c r="F2" s="214"/>
      <c r="G2" s="214"/>
    </row>
    <row r="3" spans="2:9" ht="24" customHeight="1" x14ac:dyDescent="0.3">
      <c r="B3" s="214"/>
      <c r="C3" s="214"/>
      <c r="D3" s="214"/>
      <c r="E3" s="214"/>
      <c r="F3" s="214"/>
      <c r="G3" s="214"/>
    </row>
    <row r="4" spans="2:9" ht="39.75" customHeight="1" x14ac:dyDescent="0.3">
      <c r="B4" s="215" t="s">
        <v>247</v>
      </c>
      <c r="C4" s="215"/>
      <c r="D4" s="215"/>
      <c r="E4" s="215"/>
      <c r="F4" s="215"/>
      <c r="G4" s="215"/>
      <c r="I4" s="146"/>
    </row>
    <row r="5" spans="2:9" ht="15" customHeight="1" x14ac:dyDescent="0.3"/>
    <row r="6" spans="2:9" ht="21.75" customHeight="1" x14ac:dyDescent="0.3">
      <c r="B6" s="195" t="s">
        <v>248</v>
      </c>
      <c r="C6" s="195"/>
      <c r="D6" s="195"/>
      <c r="E6" s="195"/>
      <c r="F6" s="195"/>
      <c r="G6" s="195"/>
    </row>
    <row r="7" spans="2:9" ht="52.5" customHeight="1" x14ac:dyDescent="0.3">
      <c r="B7" s="50" t="s">
        <v>249</v>
      </c>
      <c r="C7" s="50" t="s">
        <v>250</v>
      </c>
      <c r="D7" s="50" t="s">
        <v>251</v>
      </c>
      <c r="E7" s="50" t="s">
        <v>252</v>
      </c>
      <c r="F7" s="50" t="s">
        <v>253</v>
      </c>
      <c r="G7" s="29"/>
      <c r="H7" s="3"/>
      <c r="I7" s="3"/>
    </row>
    <row r="8" spans="2:9" ht="31.2" customHeight="1" x14ac:dyDescent="0.3">
      <c r="B8" s="65" t="s">
        <v>254</v>
      </c>
      <c r="C8" s="56">
        <v>10</v>
      </c>
      <c r="D8" s="56">
        <v>24</v>
      </c>
      <c r="E8" s="66">
        <v>150</v>
      </c>
      <c r="F8" s="67" t="s">
        <v>255</v>
      </c>
      <c r="G8" s="68"/>
      <c r="H8" s="3"/>
      <c r="I8" s="3"/>
    </row>
    <row r="9" spans="2:9" ht="31.2" customHeight="1" x14ac:dyDescent="0.3">
      <c r="B9" s="69" t="s">
        <v>256</v>
      </c>
      <c r="C9" s="70">
        <v>25</v>
      </c>
      <c r="D9" s="70">
        <v>49</v>
      </c>
      <c r="E9" s="71">
        <v>250</v>
      </c>
      <c r="F9" s="72" t="s">
        <v>257</v>
      </c>
      <c r="G9" s="73"/>
      <c r="H9" s="3"/>
      <c r="I9" s="3"/>
    </row>
    <row r="10" spans="2:9" ht="31.2" customHeight="1" x14ac:dyDescent="0.3">
      <c r="B10" s="74" t="s">
        <v>258</v>
      </c>
      <c r="C10" s="75">
        <v>50</v>
      </c>
      <c r="D10" s="75">
        <v>74</v>
      </c>
      <c r="E10" s="76">
        <v>300</v>
      </c>
      <c r="F10" s="77" t="s">
        <v>259</v>
      </c>
      <c r="G10" s="78"/>
      <c r="H10" s="3"/>
      <c r="I10" s="3"/>
    </row>
    <row r="11" spans="2:9" ht="31.2" customHeight="1" x14ac:dyDescent="0.3">
      <c r="B11" s="79" t="s">
        <v>260</v>
      </c>
      <c r="C11" s="80">
        <v>75</v>
      </c>
      <c r="D11" s="80">
        <v>99</v>
      </c>
      <c r="E11" s="81">
        <v>350</v>
      </c>
      <c r="F11" s="82" t="s">
        <v>261</v>
      </c>
      <c r="G11" s="83"/>
      <c r="H11" s="3"/>
      <c r="I11" s="3"/>
    </row>
    <row r="12" spans="2:9" ht="31.2" customHeight="1" x14ac:dyDescent="0.3">
      <c r="B12" s="84" t="s">
        <v>262</v>
      </c>
      <c r="C12" s="85">
        <v>100</v>
      </c>
      <c r="D12" s="85">
        <v>199</v>
      </c>
      <c r="E12" s="86">
        <v>400</v>
      </c>
      <c r="F12" s="87" t="s">
        <v>263</v>
      </c>
      <c r="G12" s="88"/>
      <c r="H12" s="3"/>
      <c r="I12" s="3"/>
    </row>
    <row r="13" spans="2:9" ht="31.2" customHeight="1" x14ac:dyDescent="0.3">
      <c r="B13" s="89" t="s">
        <v>264</v>
      </c>
      <c r="C13" s="90">
        <v>200</v>
      </c>
      <c r="D13" s="90" t="s">
        <v>265</v>
      </c>
      <c r="E13" s="91">
        <v>500</v>
      </c>
      <c r="F13" s="92" t="s">
        <v>266</v>
      </c>
      <c r="G13" s="93"/>
      <c r="H13" s="3"/>
      <c r="I13" s="3"/>
    </row>
    <row r="14" spans="2:9" ht="39.75" customHeight="1" x14ac:dyDescent="0.3">
      <c r="B14" s="219" t="s">
        <v>267</v>
      </c>
      <c r="C14" s="219"/>
      <c r="D14" s="219"/>
      <c r="E14" s="219"/>
      <c r="F14" s="219"/>
      <c r="G14" s="3"/>
      <c r="H14" s="3"/>
      <c r="I14" s="3"/>
    </row>
    <row r="15" spans="2:9" ht="15" customHeight="1" x14ac:dyDescent="0.3">
      <c r="B15" s="3"/>
      <c r="C15" s="3"/>
      <c r="D15" s="3"/>
      <c r="E15" s="3"/>
      <c r="F15" s="3"/>
      <c r="G15" s="3"/>
      <c r="H15" s="3"/>
      <c r="I15" s="3"/>
    </row>
    <row r="16" spans="2:9" ht="21.75" customHeight="1" x14ac:dyDescent="0.3">
      <c r="B16" s="195" t="s">
        <v>268</v>
      </c>
      <c r="C16" s="195"/>
      <c r="D16" s="195"/>
      <c r="E16" s="195"/>
      <c r="F16" s="195"/>
      <c r="G16" s="195"/>
    </row>
    <row r="17" spans="2:7" ht="26.4" customHeight="1" x14ac:dyDescent="0.3">
      <c r="B17" s="216" t="s">
        <v>708</v>
      </c>
      <c r="C17" s="217"/>
      <c r="D17" s="217"/>
      <c r="E17" s="217"/>
      <c r="F17" s="217"/>
      <c r="G17" s="217"/>
    </row>
    <row r="18" spans="2:7" ht="15" customHeight="1" x14ac:dyDescent="0.3"/>
    <row r="19" spans="2:7" ht="31.2" customHeight="1" x14ac:dyDescent="0.3">
      <c r="B19" s="218" t="s">
        <v>707</v>
      </c>
      <c r="C19" s="195"/>
      <c r="D19" s="195"/>
      <c r="E19" s="195"/>
      <c r="F19" s="195"/>
      <c r="G19" s="195"/>
    </row>
    <row r="20" spans="2:7" ht="39.6" x14ac:dyDescent="0.3">
      <c r="B20" s="50" t="s">
        <v>249</v>
      </c>
      <c r="C20" s="50" t="s">
        <v>250</v>
      </c>
      <c r="D20" s="50" t="s">
        <v>251</v>
      </c>
      <c r="E20" s="50" t="s">
        <v>252</v>
      </c>
      <c r="F20" s="50" t="s">
        <v>253</v>
      </c>
      <c r="G20" s="29"/>
    </row>
    <row r="21" spans="2:7" ht="31.2" customHeight="1" x14ac:dyDescent="0.3">
      <c r="B21" s="65" t="s">
        <v>254</v>
      </c>
      <c r="C21" s="56">
        <v>10</v>
      </c>
      <c r="D21" s="56">
        <v>24</v>
      </c>
      <c r="E21" s="66">
        <v>75</v>
      </c>
      <c r="F21" s="67" t="s">
        <v>255</v>
      </c>
      <c r="G21" s="68"/>
    </row>
    <row r="22" spans="2:7" ht="31.2" customHeight="1" x14ac:dyDescent="0.3">
      <c r="B22" s="69" t="s">
        <v>256</v>
      </c>
      <c r="C22" s="70">
        <v>25</v>
      </c>
      <c r="D22" s="70">
        <v>49</v>
      </c>
      <c r="E22" s="71">
        <v>125</v>
      </c>
      <c r="F22" s="72" t="s">
        <v>257</v>
      </c>
      <c r="G22" s="73"/>
    </row>
    <row r="23" spans="2:7" ht="31.2" customHeight="1" x14ac:dyDescent="0.3">
      <c r="B23" s="74" t="s">
        <v>258</v>
      </c>
      <c r="C23" s="75">
        <v>50</v>
      </c>
      <c r="D23" s="75">
        <v>74</v>
      </c>
      <c r="E23" s="76">
        <v>150</v>
      </c>
      <c r="F23" s="77" t="s">
        <v>259</v>
      </c>
      <c r="G23" s="78"/>
    </row>
    <row r="24" spans="2:7" ht="31.2" customHeight="1" x14ac:dyDescent="0.3">
      <c r="B24" s="79" t="s">
        <v>260</v>
      </c>
      <c r="C24" s="80">
        <v>75</v>
      </c>
      <c r="D24" s="80">
        <v>99</v>
      </c>
      <c r="E24" s="81">
        <v>175</v>
      </c>
      <c r="F24" s="82" t="s">
        <v>261</v>
      </c>
      <c r="G24" s="83"/>
    </row>
    <row r="25" spans="2:7" ht="31.2" customHeight="1" x14ac:dyDescent="0.3">
      <c r="B25" s="84" t="s">
        <v>262</v>
      </c>
      <c r="C25" s="85">
        <v>100</v>
      </c>
      <c r="D25" s="85">
        <v>199</v>
      </c>
      <c r="E25" s="86">
        <v>200</v>
      </c>
      <c r="F25" s="87" t="s">
        <v>263</v>
      </c>
      <c r="G25" s="88"/>
    </row>
    <row r="26" spans="2:7" ht="31.2" customHeight="1" x14ac:dyDescent="0.3">
      <c r="B26" s="89" t="s">
        <v>264</v>
      </c>
      <c r="C26" s="90">
        <v>200</v>
      </c>
      <c r="D26" s="90" t="s">
        <v>265</v>
      </c>
      <c r="E26" s="91">
        <v>250</v>
      </c>
      <c r="F26" s="92" t="s">
        <v>266</v>
      </c>
      <c r="G26" s="93"/>
    </row>
    <row r="27" spans="2:7" ht="15.75" customHeight="1" x14ac:dyDescent="0.3"/>
    <row r="28" spans="2:7" s="147" customFormat="1" ht="15.75" customHeight="1" x14ac:dyDescent="0.3">
      <c r="B28" s="149" t="s">
        <v>709</v>
      </c>
    </row>
    <row r="29" spans="2:7" ht="15.75" customHeight="1" x14ac:dyDescent="0.3">
      <c r="B29" s="148" t="s">
        <v>710</v>
      </c>
    </row>
    <row r="30" spans="2:7" ht="15.75" customHeight="1" x14ac:dyDescent="0.3">
      <c r="B30" s="148" t="s">
        <v>711</v>
      </c>
    </row>
    <row r="31" spans="2:7" ht="15.75" customHeight="1" x14ac:dyDescent="0.3">
      <c r="B31" s="148" t="s">
        <v>712</v>
      </c>
    </row>
    <row r="32" spans="2:7" ht="15.75" customHeight="1" x14ac:dyDescent="0.3">
      <c r="B32" s="148" t="s">
        <v>713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7">
    <mergeCell ref="B16:G16"/>
    <mergeCell ref="B17:G17"/>
    <mergeCell ref="B19:G19"/>
    <mergeCell ref="B2:G3"/>
    <mergeCell ref="B4:G4"/>
    <mergeCell ref="B6:G6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showGridLines="0" topLeftCell="A30" zoomScaleNormal="100" workbookViewId="0">
      <selection activeCell="F38" sqref="F38"/>
    </sheetView>
  </sheetViews>
  <sheetFormatPr defaultColWidth="14.44140625" defaultRowHeight="14.4" x14ac:dyDescent="0.3"/>
  <cols>
    <col min="1" max="1" width="2" customWidth="1"/>
    <col min="2" max="2" width="32" customWidth="1"/>
    <col min="3" max="4" width="14" customWidth="1"/>
    <col min="5" max="5" width="13.21875" customWidth="1"/>
    <col min="6" max="7" width="13" customWidth="1"/>
    <col min="8" max="8" width="24" customWidth="1"/>
    <col min="9" max="9" width="4" customWidth="1"/>
    <col min="10" max="26" width="8.6640625" customWidth="1"/>
  </cols>
  <sheetData>
    <row r="1" spans="2:11" ht="15" customHeight="1" x14ac:dyDescent="0.3"/>
    <row r="2" spans="2:11" ht="24" customHeight="1" x14ac:dyDescent="0.3">
      <c r="B2" s="214" t="s">
        <v>269</v>
      </c>
      <c r="C2" s="214"/>
      <c r="D2" s="214"/>
      <c r="E2" s="214"/>
      <c r="F2" s="214"/>
      <c r="G2" s="214"/>
    </row>
    <row r="3" spans="2:11" ht="24" customHeight="1" x14ac:dyDescent="0.3">
      <c r="B3" s="214"/>
      <c r="C3" s="214"/>
      <c r="D3" s="214"/>
      <c r="E3" s="214"/>
      <c r="F3" s="214"/>
      <c r="G3" s="214"/>
    </row>
    <row r="4" spans="2:11" ht="31.2" customHeight="1" x14ac:dyDescent="0.3">
      <c r="B4" s="222" t="s">
        <v>270</v>
      </c>
      <c r="C4" s="222"/>
      <c r="D4" s="222"/>
      <c r="E4" s="222"/>
      <c r="F4" s="222"/>
      <c r="G4" s="222"/>
    </row>
    <row r="5" spans="2:11" ht="15" customHeight="1" x14ac:dyDescent="0.3"/>
    <row r="6" spans="2:11" ht="21.75" customHeight="1" x14ac:dyDescent="0.3">
      <c r="B6" s="223" t="s">
        <v>271</v>
      </c>
      <c r="C6" s="223"/>
      <c r="D6" s="223"/>
      <c r="E6" s="223"/>
      <c r="I6" s="3"/>
      <c r="J6" s="3"/>
      <c r="K6" s="3"/>
    </row>
    <row r="7" spans="2:11" ht="42.6" customHeight="1" x14ac:dyDescent="0.3">
      <c r="B7" s="29" t="s">
        <v>272</v>
      </c>
      <c r="C7" s="29" t="s">
        <v>715</v>
      </c>
      <c r="D7" s="29" t="s">
        <v>714</v>
      </c>
      <c r="E7" s="29" t="s">
        <v>716</v>
      </c>
      <c r="F7" s="94"/>
      <c r="G7" s="94"/>
      <c r="H7" s="94"/>
      <c r="I7" s="3"/>
      <c r="J7" s="3"/>
      <c r="K7" s="3"/>
    </row>
    <row r="8" spans="2:11" ht="18" customHeight="1" x14ac:dyDescent="0.3">
      <c r="B8" s="95" t="s">
        <v>275</v>
      </c>
      <c r="C8" s="96">
        <v>48000</v>
      </c>
      <c r="D8" s="97">
        <v>5000</v>
      </c>
      <c r="E8" s="97">
        <f>D8*0.5</f>
        <v>2500</v>
      </c>
      <c r="F8" s="98"/>
      <c r="G8" s="98"/>
      <c r="H8" s="34"/>
      <c r="I8" s="3"/>
      <c r="J8" s="3"/>
      <c r="K8" s="3"/>
    </row>
    <row r="9" spans="2:11" ht="18" customHeight="1" x14ac:dyDescent="0.3">
      <c r="B9" s="95" t="s">
        <v>276</v>
      </c>
      <c r="C9" s="96">
        <v>130000</v>
      </c>
      <c r="D9" s="97">
        <v>5000</v>
      </c>
      <c r="E9" s="97">
        <f t="shared" ref="E9:E20" si="0">D9*0.5</f>
        <v>2500</v>
      </c>
      <c r="F9" s="98"/>
      <c r="G9" s="98"/>
      <c r="H9" s="34"/>
      <c r="I9" s="3"/>
      <c r="J9" s="3"/>
      <c r="K9" s="3"/>
    </row>
    <row r="10" spans="2:11" ht="18" customHeight="1" x14ac:dyDescent="0.3">
      <c r="B10" s="95" t="s">
        <v>277</v>
      </c>
      <c r="C10" s="96">
        <v>130000</v>
      </c>
      <c r="D10" s="97">
        <v>5000</v>
      </c>
      <c r="E10" s="97">
        <f t="shared" si="0"/>
        <v>2500</v>
      </c>
      <c r="F10" s="98"/>
      <c r="G10" s="98"/>
      <c r="H10" s="34"/>
      <c r="I10" s="3"/>
      <c r="J10" s="3"/>
      <c r="K10" s="3"/>
    </row>
    <row r="11" spans="2:11" ht="18" customHeight="1" x14ac:dyDescent="0.3">
      <c r="B11" s="95" t="s">
        <v>278</v>
      </c>
      <c r="C11" s="96">
        <v>160000</v>
      </c>
      <c r="D11" s="97">
        <v>5000</v>
      </c>
      <c r="E11" s="97">
        <f t="shared" si="0"/>
        <v>2500</v>
      </c>
      <c r="F11" s="98"/>
      <c r="G11" s="98"/>
      <c r="H11" s="34"/>
      <c r="I11" s="3"/>
      <c r="J11" s="3"/>
      <c r="K11" s="3"/>
    </row>
    <row r="12" spans="2:11" ht="18" customHeight="1" x14ac:dyDescent="0.3">
      <c r="B12" s="95" t="s">
        <v>279</v>
      </c>
      <c r="C12" s="96">
        <v>200000</v>
      </c>
      <c r="D12" s="97">
        <v>5000</v>
      </c>
      <c r="E12" s="97">
        <f t="shared" si="0"/>
        <v>2500</v>
      </c>
      <c r="F12" s="98"/>
      <c r="G12" s="98"/>
      <c r="H12" s="34"/>
      <c r="I12" s="3"/>
      <c r="J12" s="3"/>
      <c r="K12" s="3"/>
    </row>
    <row r="13" spans="2:11" ht="18" customHeight="1" x14ac:dyDescent="0.3">
      <c r="B13" s="95" t="s">
        <v>280</v>
      </c>
      <c r="C13" s="96">
        <v>200000</v>
      </c>
      <c r="D13" s="97">
        <v>5000</v>
      </c>
      <c r="E13" s="97">
        <f t="shared" si="0"/>
        <v>2500</v>
      </c>
      <c r="F13" s="98"/>
      <c r="G13" s="98"/>
      <c r="H13" s="34"/>
      <c r="I13" s="3"/>
      <c r="J13" s="3"/>
      <c r="K13" s="3"/>
    </row>
    <row r="14" spans="2:11" ht="18" customHeight="1" x14ac:dyDescent="0.3">
      <c r="B14" s="95" t="s">
        <v>281</v>
      </c>
      <c r="C14" s="96">
        <v>300000</v>
      </c>
      <c r="D14" s="97">
        <v>5000</v>
      </c>
      <c r="E14" s="97">
        <f t="shared" si="0"/>
        <v>2500</v>
      </c>
      <c r="F14" s="98"/>
      <c r="G14" s="98"/>
      <c r="H14" s="34"/>
      <c r="I14" s="3"/>
      <c r="J14" s="3"/>
      <c r="K14" s="3"/>
    </row>
    <row r="15" spans="2:11" ht="18" customHeight="1" x14ac:dyDescent="0.3">
      <c r="B15" s="95" t="s">
        <v>282</v>
      </c>
      <c r="C15" s="96">
        <v>350000</v>
      </c>
      <c r="D15" s="97">
        <v>5000</v>
      </c>
      <c r="E15" s="97">
        <f t="shared" si="0"/>
        <v>2500</v>
      </c>
      <c r="F15" s="98"/>
      <c r="G15" s="98"/>
      <c r="H15" s="34"/>
      <c r="I15" s="3"/>
      <c r="J15" s="3"/>
      <c r="K15" s="3"/>
    </row>
    <row r="16" spans="2:11" ht="18" customHeight="1" x14ac:dyDescent="0.3">
      <c r="B16" s="95" t="s">
        <v>283</v>
      </c>
      <c r="C16" s="96">
        <v>400000</v>
      </c>
      <c r="D16" s="97">
        <v>5000</v>
      </c>
      <c r="E16" s="97">
        <f t="shared" si="0"/>
        <v>2500</v>
      </c>
      <c r="F16" s="98"/>
      <c r="G16" s="98"/>
      <c r="H16" s="34"/>
      <c r="I16" s="3"/>
      <c r="J16" s="3"/>
      <c r="K16" s="3"/>
    </row>
    <row r="17" spans="2:11" ht="18" customHeight="1" x14ac:dyDescent="0.3">
      <c r="B17" s="95" t="s">
        <v>284</v>
      </c>
      <c r="C17" s="96">
        <v>700000</v>
      </c>
      <c r="D17" s="97">
        <v>10000</v>
      </c>
      <c r="E17" s="97">
        <f t="shared" si="0"/>
        <v>5000</v>
      </c>
      <c r="F17" s="98"/>
      <c r="G17" s="98"/>
      <c r="H17" s="34"/>
      <c r="I17" s="99"/>
      <c r="J17" s="3"/>
      <c r="K17" s="3"/>
    </row>
    <row r="18" spans="2:11" ht="18" customHeight="1" x14ac:dyDescent="0.3">
      <c r="B18" s="95" t="s">
        <v>285</v>
      </c>
      <c r="C18" s="96">
        <v>700000</v>
      </c>
      <c r="D18" s="97">
        <v>10000</v>
      </c>
      <c r="E18" s="97">
        <f t="shared" si="0"/>
        <v>5000</v>
      </c>
      <c r="F18" s="98"/>
      <c r="G18" s="98"/>
      <c r="H18" s="34"/>
      <c r="I18" s="3"/>
      <c r="J18" s="3"/>
      <c r="K18" s="3"/>
    </row>
    <row r="19" spans="2:11" ht="18" customHeight="1" x14ac:dyDescent="0.3">
      <c r="B19" s="95" t="s">
        <v>286</v>
      </c>
      <c r="C19" s="96">
        <v>1300000</v>
      </c>
      <c r="D19" s="97">
        <v>15000</v>
      </c>
      <c r="E19" s="97">
        <f t="shared" si="0"/>
        <v>7500</v>
      </c>
      <c r="F19" s="98"/>
      <c r="G19" s="98"/>
      <c r="H19" s="34"/>
      <c r="I19" s="3"/>
      <c r="J19" s="3"/>
      <c r="K19" s="3"/>
    </row>
    <row r="20" spans="2:11" ht="18" customHeight="1" x14ac:dyDescent="0.3">
      <c r="B20" s="95" t="s">
        <v>287</v>
      </c>
      <c r="C20" s="96">
        <v>1800000</v>
      </c>
      <c r="D20" s="97">
        <v>20000</v>
      </c>
      <c r="E20" s="97">
        <f t="shared" si="0"/>
        <v>10000</v>
      </c>
      <c r="F20" s="98"/>
      <c r="G20" s="98"/>
      <c r="H20" s="34"/>
      <c r="I20" s="3"/>
      <c r="J20" s="3"/>
      <c r="K20" s="3"/>
    </row>
    <row r="21" spans="2:11" ht="24" customHeight="1" x14ac:dyDescent="0.3">
      <c r="B21" s="100"/>
      <c r="C21" s="101"/>
      <c r="D21" s="102"/>
      <c r="E21" s="103"/>
      <c r="F21" s="102"/>
      <c r="G21" s="104"/>
      <c r="H21" s="3"/>
      <c r="I21" s="3"/>
      <c r="J21" s="3"/>
      <c r="K21" s="3"/>
    </row>
    <row r="22" spans="2:11" ht="24" customHeight="1" x14ac:dyDescent="0.3">
      <c r="B22" s="191"/>
      <c r="C22" s="191"/>
      <c r="D22" s="191"/>
      <c r="I22" s="3"/>
      <c r="J22" s="3"/>
      <c r="K22" s="3"/>
    </row>
    <row r="23" spans="2:11" ht="24" customHeight="1" x14ac:dyDescent="0.3">
      <c r="I23" s="3"/>
      <c r="J23" s="3"/>
      <c r="K23" s="3"/>
    </row>
    <row r="24" spans="2:11" ht="21.75" customHeight="1" x14ac:dyDescent="0.3">
      <c r="B24" s="190" t="s">
        <v>288</v>
      </c>
      <c r="C24" s="190"/>
      <c r="D24" s="190"/>
      <c r="I24" s="3"/>
      <c r="J24" s="3"/>
      <c r="K24" s="3"/>
    </row>
    <row r="25" spans="2:11" ht="19.5" customHeight="1" x14ac:dyDescent="0.3">
      <c r="B25" s="29" t="s">
        <v>272</v>
      </c>
      <c r="C25" s="105" t="s">
        <v>273</v>
      </c>
      <c r="D25" s="106" t="s">
        <v>274</v>
      </c>
      <c r="E25" s="103"/>
      <c r="F25" s="102"/>
      <c r="G25" s="104"/>
      <c r="H25" s="3"/>
      <c r="I25" s="3"/>
      <c r="J25" s="3"/>
      <c r="K25" s="3"/>
    </row>
    <row r="26" spans="2:11" ht="18" customHeight="1" x14ac:dyDescent="0.3">
      <c r="B26" s="95" t="s">
        <v>275</v>
      </c>
      <c r="C26" s="96">
        <v>48000</v>
      </c>
      <c r="D26" s="97">
        <v>2500</v>
      </c>
      <c r="I26" s="3"/>
      <c r="J26" s="3"/>
      <c r="K26" s="3"/>
    </row>
    <row r="27" spans="2:11" ht="18" customHeight="1" x14ac:dyDescent="0.3">
      <c r="B27" s="95" t="s">
        <v>276</v>
      </c>
      <c r="C27" s="96">
        <v>130000</v>
      </c>
      <c r="D27" s="97">
        <v>2500</v>
      </c>
      <c r="E27" s="94"/>
      <c r="F27" s="107"/>
      <c r="G27" s="94"/>
      <c r="H27" s="94"/>
      <c r="I27" s="3"/>
      <c r="J27" s="3"/>
      <c r="K27" s="3"/>
    </row>
    <row r="28" spans="2:11" ht="18" customHeight="1" x14ac:dyDescent="0.3">
      <c r="B28" s="95" t="s">
        <v>277</v>
      </c>
      <c r="C28" s="96">
        <v>130000</v>
      </c>
      <c r="D28" s="97">
        <v>2500</v>
      </c>
      <c r="E28" s="98"/>
      <c r="F28" s="98"/>
      <c r="G28" s="98"/>
      <c r="H28" s="108"/>
      <c r="I28" s="3"/>
      <c r="J28" s="3"/>
      <c r="K28" s="3"/>
    </row>
    <row r="29" spans="2:11" ht="18" customHeight="1" x14ac:dyDescent="0.3">
      <c r="B29" s="95" t="s">
        <v>278</v>
      </c>
      <c r="C29" s="96">
        <v>160000</v>
      </c>
      <c r="D29" s="97">
        <v>2500</v>
      </c>
      <c r="E29" s="98"/>
      <c r="F29" s="98"/>
      <c r="G29" s="98"/>
      <c r="H29" s="108"/>
      <c r="I29" s="3"/>
      <c r="J29" s="3"/>
      <c r="K29" s="3"/>
    </row>
    <row r="30" spans="2:11" ht="18" customHeight="1" x14ac:dyDescent="0.3">
      <c r="B30" s="95" t="s">
        <v>279</v>
      </c>
      <c r="C30" s="96">
        <v>200000</v>
      </c>
      <c r="D30" s="97">
        <v>2500</v>
      </c>
      <c r="E30" s="98"/>
      <c r="F30" s="98"/>
      <c r="G30" s="98"/>
      <c r="H30" s="108"/>
      <c r="I30" s="109"/>
      <c r="J30" s="3"/>
      <c r="K30" s="3"/>
    </row>
    <row r="31" spans="2:11" ht="18" customHeight="1" x14ac:dyDescent="0.3">
      <c r="B31" s="95" t="s">
        <v>280</v>
      </c>
      <c r="C31" s="96">
        <v>200000</v>
      </c>
      <c r="D31" s="97">
        <v>2500</v>
      </c>
      <c r="E31" s="98"/>
      <c r="F31" s="98"/>
      <c r="G31" s="98"/>
      <c r="H31" s="108"/>
    </row>
    <row r="32" spans="2:11" ht="18" customHeight="1" x14ac:dyDescent="0.3">
      <c r="B32" s="95" t="s">
        <v>281</v>
      </c>
      <c r="C32" s="96">
        <v>300000</v>
      </c>
      <c r="D32" s="97">
        <v>2500</v>
      </c>
      <c r="E32" s="98"/>
      <c r="F32" s="98"/>
      <c r="G32" s="98"/>
      <c r="H32" s="108"/>
    </row>
    <row r="33" spans="2:8" ht="18" customHeight="1" x14ac:dyDescent="0.3">
      <c r="B33" s="95" t="s">
        <v>282</v>
      </c>
      <c r="C33" s="96">
        <v>350000</v>
      </c>
      <c r="D33" s="97">
        <v>2500</v>
      </c>
      <c r="E33" s="98"/>
      <c r="F33" s="98"/>
      <c r="G33" s="98"/>
      <c r="H33" s="108"/>
    </row>
    <row r="34" spans="2:8" ht="18" customHeight="1" x14ac:dyDescent="0.3">
      <c r="B34" s="95" t="s">
        <v>283</v>
      </c>
      <c r="C34" s="96">
        <v>400000</v>
      </c>
      <c r="D34" s="97">
        <v>2500</v>
      </c>
      <c r="E34" s="98"/>
      <c r="F34" s="98"/>
      <c r="G34" s="98"/>
      <c r="H34" s="108"/>
    </row>
    <row r="35" spans="2:8" ht="18" customHeight="1" x14ac:dyDescent="0.3">
      <c r="B35" s="95" t="s">
        <v>284</v>
      </c>
      <c r="C35" s="96">
        <v>700000</v>
      </c>
      <c r="D35" s="97">
        <v>5000</v>
      </c>
      <c r="E35" s="98"/>
      <c r="F35" s="98"/>
      <c r="G35" s="98"/>
      <c r="H35" s="108"/>
    </row>
    <row r="36" spans="2:8" ht="18" customHeight="1" x14ac:dyDescent="0.3">
      <c r="B36" s="95" t="s">
        <v>285</v>
      </c>
      <c r="C36" s="96">
        <v>700000</v>
      </c>
      <c r="D36" s="97">
        <v>5000</v>
      </c>
      <c r="E36" s="98"/>
      <c r="F36" s="98"/>
      <c r="G36" s="98"/>
      <c r="H36" s="108"/>
    </row>
    <row r="37" spans="2:8" ht="18" customHeight="1" x14ac:dyDescent="0.3">
      <c r="B37" s="95" t="s">
        <v>286</v>
      </c>
      <c r="C37" s="96">
        <v>1300000</v>
      </c>
      <c r="D37" s="97">
        <v>10000</v>
      </c>
      <c r="E37" s="98"/>
      <c r="F37" s="98"/>
      <c r="G37" s="98"/>
      <c r="H37" s="108"/>
    </row>
    <row r="38" spans="2:8" ht="18" customHeight="1" x14ac:dyDescent="0.3">
      <c r="B38" s="95" t="s">
        <v>287</v>
      </c>
      <c r="C38" s="96">
        <v>1800000</v>
      </c>
      <c r="D38" s="97">
        <v>10000</v>
      </c>
      <c r="E38" s="98"/>
      <c r="F38" s="98"/>
      <c r="G38" s="98"/>
      <c r="H38" s="108"/>
    </row>
    <row r="39" spans="2:8" ht="18" customHeight="1" x14ac:dyDescent="0.3">
      <c r="B39" s="110"/>
      <c r="C39" s="111"/>
      <c r="D39" s="111"/>
      <c r="E39" s="98"/>
      <c r="F39" s="98"/>
      <c r="G39" s="98"/>
      <c r="H39" s="108"/>
    </row>
    <row r="40" spans="2:8" ht="18" customHeight="1" x14ac:dyDescent="0.3">
      <c r="B40" s="110"/>
      <c r="C40" s="111"/>
      <c r="D40" s="111"/>
      <c r="E40" s="98"/>
      <c r="F40" s="98"/>
      <c r="G40" s="98"/>
      <c r="H40" s="108"/>
    </row>
    <row r="41" spans="2:8" ht="23.4" customHeight="1" x14ac:dyDescent="0.3">
      <c r="B41" s="221" t="s">
        <v>758</v>
      </c>
      <c r="C41" s="221"/>
      <c r="D41" s="221"/>
      <c r="E41" s="221"/>
      <c r="F41" s="221"/>
      <c r="G41" s="221"/>
      <c r="H41" s="221"/>
    </row>
    <row r="42" spans="2:8" ht="23.4" customHeight="1" x14ac:dyDescent="0.3">
      <c r="B42" s="151" t="s">
        <v>718</v>
      </c>
      <c r="C42" s="151"/>
      <c r="D42" s="151"/>
      <c r="E42" s="151"/>
      <c r="F42" s="151"/>
      <c r="G42" s="151"/>
      <c r="H42" s="151"/>
    </row>
    <row r="43" spans="2:8" ht="49.8" customHeight="1" x14ac:dyDescent="0.3">
      <c r="B43" s="220" t="s">
        <v>724</v>
      </c>
      <c r="C43" s="220"/>
      <c r="D43" s="220"/>
      <c r="E43" s="220"/>
      <c r="F43" s="220"/>
      <c r="G43" s="220"/>
      <c r="H43" s="220"/>
    </row>
    <row r="44" spans="2:8" ht="19.2" customHeight="1" x14ac:dyDescent="0.3">
      <c r="B44" s="220" t="s">
        <v>719</v>
      </c>
      <c r="C44" s="220"/>
      <c r="D44" s="220"/>
      <c r="E44" s="220"/>
      <c r="F44" s="220"/>
      <c r="G44" s="220"/>
      <c r="H44" s="220"/>
    </row>
    <row r="45" spans="2:8" ht="23.4" customHeight="1" x14ac:dyDescent="0.3">
      <c r="B45" s="220" t="s">
        <v>720</v>
      </c>
      <c r="C45" s="220"/>
      <c r="D45" s="220"/>
      <c r="E45" s="220"/>
      <c r="F45" s="220"/>
      <c r="G45" s="220"/>
      <c r="H45" s="220"/>
    </row>
    <row r="46" spans="2:8" ht="23.4" customHeight="1" x14ac:dyDescent="0.3">
      <c r="B46" s="220" t="s">
        <v>721</v>
      </c>
      <c r="C46" s="220"/>
      <c r="D46" s="220"/>
      <c r="E46" s="220"/>
      <c r="F46" s="220"/>
      <c r="G46" s="220"/>
      <c r="H46" s="220"/>
    </row>
    <row r="47" spans="2:8" ht="23.4" customHeight="1" x14ac:dyDescent="0.3">
      <c r="B47" s="220" t="s">
        <v>726</v>
      </c>
      <c r="C47" s="220"/>
      <c r="D47" s="220"/>
      <c r="E47" s="220"/>
      <c r="F47" s="220"/>
      <c r="G47" s="220"/>
      <c r="H47" s="220"/>
    </row>
    <row r="48" spans="2:8" ht="23.4" customHeight="1" x14ac:dyDescent="0.3">
      <c r="B48" s="152"/>
      <c r="C48" s="153"/>
      <c r="D48" s="153"/>
      <c r="E48" s="153"/>
      <c r="F48" s="153"/>
      <c r="G48" s="153"/>
      <c r="H48" s="153"/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B2:G3"/>
    <mergeCell ref="B4:G4"/>
    <mergeCell ref="B22:D22"/>
    <mergeCell ref="B24:D24"/>
    <mergeCell ref="B6:E6"/>
    <mergeCell ref="B47:H47"/>
    <mergeCell ref="B41:H41"/>
    <mergeCell ref="B43:H43"/>
    <mergeCell ref="B44:H44"/>
    <mergeCell ref="B45:H45"/>
    <mergeCell ref="B46:H4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995"/>
  <sheetViews>
    <sheetView showGridLines="0" zoomScaleNormal="100" workbookViewId="0">
      <selection activeCell="B37" sqref="B37"/>
    </sheetView>
  </sheetViews>
  <sheetFormatPr defaultColWidth="14.44140625" defaultRowHeight="14.4" x14ac:dyDescent="0.3"/>
  <cols>
    <col min="1" max="1" width="2" customWidth="1"/>
    <col min="2" max="2" width="28" customWidth="1"/>
    <col min="3" max="5" width="12" customWidth="1"/>
    <col min="6" max="6" width="13" customWidth="1"/>
    <col min="7" max="7" width="12" customWidth="1"/>
    <col min="8" max="8" width="24" customWidth="1"/>
    <col min="9" max="9" width="24.88671875" customWidth="1"/>
    <col min="10" max="10" width="24.6640625" customWidth="1"/>
    <col min="11" max="11" width="25.44140625" customWidth="1"/>
    <col min="12" max="26" width="8.6640625" customWidth="1"/>
  </cols>
  <sheetData>
    <row r="1" spans="2:11" ht="15" customHeight="1" x14ac:dyDescent="0.3"/>
    <row r="2" spans="2:11" ht="24" customHeight="1" x14ac:dyDescent="0.3">
      <c r="B2" s="225" t="s">
        <v>289</v>
      </c>
      <c r="C2" s="225"/>
      <c r="D2" s="225"/>
      <c r="E2" s="225"/>
      <c r="F2" s="225"/>
      <c r="G2" s="225"/>
      <c r="H2" s="225"/>
      <c r="I2" s="225"/>
      <c r="J2" s="225"/>
      <c r="K2" s="225"/>
    </row>
    <row r="3" spans="2:11" ht="24" customHeight="1" x14ac:dyDescent="0.3">
      <c r="B3" s="225"/>
      <c r="C3" s="225"/>
      <c r="D3" s="225"/>
      <c r="E3" s="225"/>
      <c r="F3" s="225"/>
      <c r="G3" s="225"/>
      <c r="H3" s="225"/>
      <c r="I3" s="225"/>
      <c r="J3" s="225"/>
      <c r="K3" s="225"/>
    </row>
    <row r="4" spans="2:11" ht="18" customHeight="1" x14ac:dyDescent="0.3">
      <c r="B4" s="215" t="s">
        <v>290</v>
      </c>
      <c r="C4" s="215"/>
      <c r="D4" s="215"/>
      <c r="E4" s="215"/>
      <c r="F4" s="215"/>
      <c r="G4" s="215"/>
    </row>
    <row r="5" spans="2:11" ht="15" customHeight="1" x14ac:dyDescent="0.3"/>
    <row r="6" spans="2:11" ht="21.75" customHeight="1" x14ac:dyDescent="0.3">
      <c r="B6" s="224" t="s">
        <v>291</v>
      </c>
      <c r="C6" s="224"/>
      <c r="D6" s="224"/>
      <c r="E6" s="224"/>
      <c r="F6" s="224"/>
      <c r="G6" s="224"/>
      <c r="H6" s="224"/>
      <c r="I6" s="224"/>
      <c r="J6" s="224"/>
      <c r="K6" s="224"/>
    </row>
    <row r="7" spans="2:11" ht="46.8" customHeight="1" x14ac:dyDescent="0.3">
      <c r="B7" s="29" t="s">
        <v>292</v>
      </c>
      <c r="C7" s="29" t="s">
        <v>293</v>
      </c>
      <c r="D7" s="29" t="s">
        <v>727</v>
      </c>
      <c r="E7" s="29" t="s">
        <v>728</v>
      </c>
      <c r="F7" s="29" t="s">
        <v>274</v>
      </c>
      <c r="G7" s="29" t="s">
        <v>729</v>
      </c>
      <c r="H7" s="29" t="s">
        <v>294</v>
      </c>
      <c r="I7" s="158" t="s">
        <v>747</v>
      </c>
      <c r="J7" s="158" t="s">
        <v>748</v>
      </c>
      <c r="K7" s="158" t="s">
        <v>749</v>
      </c>
    </row>
    <row r="8" spans="2:11" ht="18" customHeight="1" x14ac:dyDescent="0.3">
      <c r="B8" s="95" t="s">
        <v>295</v>
      </c>
      <c r="C8" s="112">
        <v>9.5</v>
      </c>
      <c r="D8" s="112">
        <v>8</v>
      </c>
      <c r="E8" s="113">
        <v>7</v>
      </c>
      <c r="F8" s="97">
        <v>10000</v>
      </c>
      <c r="G8" s="97">
        <v>7000</v>
      </c>
      <c r="H8" s="33" t="s">
        <v>296</v>
      </c>
      <c r="I8" s="226">
        <v>50000</v>
      </c>
      <c r="J8" s="226">
        <v>35000</v>
      </c>
      <c r="K8" s="226">
        <v>25000</v>
      </c>
    </row>
    <row r="9" spans="2:11" ht="18" customHeight="1" x14ac:dyDescent="0.3">
      <c r="B9" s="95" t="s">
        <v>297</v>
      </c>
      <c r="C9" s="112">
        <v>8.5</v>
      </c>
      <c r="D9" s="112">
        <v>7</v>
      </c>
      <c r="E9" s="113">
        <v>6</v>
      </c>
      <c r="F9" s="97">
        <v>10000</v>
      </c>
      <c r="G9" s="97">
        <v>7000</v>
      </c>
      <c r="H9" s="33" t="s">
        <v>296</v>
      </c>
      <c r="I9" s="227"/>
      <c r="J9" s="227"/>
      <c r="K9" s="227"/>
    </row>
    <row r="10" spans="2:11" ht="18" customHeight="1" x14ac:dyDescent="0.3">
      <c r="B10" s="95" t="s">
        <v>298</v>
      </c>
      <c r="C10" s="112">
        <v>20.5</v>
      </c>
      <c r="D10" s="112">
        <v>15</v>
      </c>
      <c r="E10" s="113">
        <v>14</v>
      </c>
      <c r="F10" s="97">
        <v>10000</v>
      </c>
      <c r="G10" s="97">
        <v>7000</v>
      </c>
      <c r="H10" s="33" t="s">
        <v>296</v>
      </c>
      <c r="I10" s="227"/>
      <c r="J10" s="227"/>
      <c r="K10" s="227"/>
    </row>
    <row r="11" spans="2:11" ht="18" customHeight="1" x14ac:dyDescent="0.3">
      <c r="B11" s="95" t="s">
        <v>299</v>
      </c>
      <c r="C11" s="112">
        <v>18.5</v>
      </c>
      <c r="D11" s="112">
        <v>15</v>
      </c>
      <c r="E11" s="113">
        <v>14</v>
      </c>
      <c r="F11" s="97">
        <v>10000</v>
      </c>
      <c r="G11" s="97">
        <v>7000</v>
      </c>
      <c r="H11" s="33" t="s">
        <v>296</v>
      </c>
      <c r="I11" s="227"/>
      <c r="J11" s="227"/>
      <c r="K11" s="227"/>
    </row>
    <row r="12" spans="2:11" ht="18" customHeight="1" x14ac:dyDescent="0.3">
      <c r="B12" s="95" t="s">
        <v>300</v>
      </c>
      <c r="C12" s="112">
        <v>18.5</v>
      </c>
      <c r="D12" s="112">
        <v>15</v>
      </c>
      <c r="E12" s="113">
        <v>14</v>
      </c>
      <c r="F12" s="97">
        <v>15000</v>
      </c>
      <c r="G12" s="97">
        <v>10500</v>
      </c>
      <c r="H12" s="33" t="s">
        <v>296</v>
      </c>
      <c r="I12" s="227"/>
      <c r="J12" s="227"/>
      <c r="K12" s="227"/>
    </row>
    <row r="13" spans="2:11" ht="18" customHeight="1" x14ac:dyDescent="0.3">
      <c r="B13" s="95" t="s">
        <v>301</v>
      </c>
      <c r="C13" s="112">
        <v>22.5</v>
      </c>
      <c r="D13" s="112">
        <v>18</v>
      </c>
      <c r="E13" s="113">
        <v>17</v>
      </c>
      <c r="F13" s="97">
        <v>15000</v>
      </c>
      <c r="G13" s="97">
        <v>10500</v>
      </c>
      <c r="H13" s="33" t="s">
        <v>296</v>
      </c>
      <c r="I13" s="227"/>
      <c r="J13" s="227"/>
      <c r="K13" s="227"/>
    </row>
    <row r="14" spans="2:11" ht="18" customHeight="1" x14ac:dyDescent="0.3">
      <c r="B14" s="95" t="s">
        <v>302</v>
      </c>
      <c r="C14" s="112">
        <v>24.5</v>
      </c>
      <c r="D14" s="112">
        <v>19.5</v>
      </c>
      <c r="E14" s="113">
        <v>18.5</v>
      </c>
      <c r="F14" s="97">
        <v>15000</v>
      </c>
      <c r="G14" s="97">
        <v>10500</v>
      </c>
      <c r="H14" s="33" t="s">
        <v>296</v>
      </c>
      <c r="I14" s="227"/>
      <c r="J14" s="227"/>
      <c r="K14" s="227"/>
    </row>
    <row r="15" spans="2:11" ht="18" customHeight="1" x14ac:dyDescent="0.3">
      <c r="B15" s="95" t="s">
        <v>303</v>
      </c>
      <c r="C15" s="112">
        <v>28.5</v>
      </c>
      <c r="D15" s="112">
        <v>23</v>
      </c>
      <c r="E15" s="113">
        <v>22.5</v>
      </c>
      <c r="F15" s="97">
        <v>20000</v>
      </c>
      <c r="G15" s="97">
        <v>14000</v>
      </c>
      <c r="H15" s="33" t="s">
        <v>296</v>
      </c>
      <c r="I15" s="227"/>
      <c r="J15" s="227"/>
      <c r="K15" s="227"/>
    </row>
    <row r="16" spans="2:11" ht="18" customHeight="1" x14ac:dyDescent="0.3">
      <c r="B16" s="95" t="s">
        <v>304</v>
      </c>
      <c r="C16" s="112">
        <v>32.5</v>
      </c>
      <c r="D16" s="112">
        <v>27</v>
      </c>
      <c r="E16" s="113">
        <v>26</v>
      </c>
      <c r="F16" s="97">
        <v>20000</v>
      </c>
      <c r="G16" s="97">
        <v>14000</v>
      </c>
      <c r="H16" s="33" t="s">
        <v>296</v>
      </c>
      <c r="I16" s="227"/>
      <c r="J16" s="227"/>
      <c r="K16" s="227"/>
    </row>
    <row r="17" spans="2:11" ht="18" customHeight="1" x14ac:dyDescent="0.3">
      <c r="B17" s="95" t="s">
        <v>305</v>
      </c>
      <c r="C17" s="112">
        <v>45.5</v>
      </c>
      <c r="D17" s="112">
        <v>40</v>
      </c>
      <c r="E17" s="113">
        <v>39</v>
      </c>
      <c r="F17" s="97">
        <v>25000</v>
      </c>
      <c r="G17" s="97">
        <v>17500</v>
      </c>
      <c r="H17" s="33" t="s">
        <v>296</v>
      </c>
      <c r="I17" s="227"/>
      <c r="J17" s="227"/>
      <c r="K17" s="227"/>
    </row>
    <row r="18" spans="2:11" ht="18" customHeight="1" x14ac:dyDescent="0.3">
      <c r="B18" s="95" t="s">
        <v>306</v>
      </c>
      <c r="C18" s="112">
        <v>70.5</v>
      </c>
      <c r="D18" s="112">
        <v>60</v>
      </c>
      <c r="E18" s="113">
        <v>58</v>
      </c>
      <c r="F18" s="97">
        <v>40000</v>
      </c>
      <c r="G18" s="97">
        <v>28000</v>
      </c>
      <c r="H18" s="33" t="s">
        <v>296</v>
      </c>
      <c r="I18" s="227"/>
      <c r="J18" s="227"/>
      <c r="K18" s="227"/>
    </row>
    <row r="19" spans="2:11" ht="18" customHeight="1" x14ac:dyDescent="0.3">
      <c r="B19" s="95" t="s">
        <v>307</v>
      </c>
      <c r="C19" s="112">
        <v>95.5</v>
      </c>
      <c r="D19" s="112">
        <v>82</v>
      </c>
      <c r="E19" s="113">
        <v>81</v>
      </c>
      <c r="F19" s="97">
        <v>40000</v>
      </c>
      <c r="G19" s="97">
        <v>28000</v>
      </c>
      <c r="H19" s="33" t="s">
        <v>296</v>
      </c>
      <c r="I19" s="228"/>
      <c r="J19" s="228"/>
      <c r="K19" s="228"/>
    </row>
    <row r="20" spans="2:11" ht="27.75" customHeight="1" x14ac:dyDescent="0.3">
      <c r="B20" s="154" t="s">
        <v>725</v>
      </c>
      <c r="C20" s="115"/>
      <c r="D20" s="115"/>
      <c r="E20" s="115"/>
      <c r="F20" s="115"/>
      <c r="G20" s="115"/>
      <c r="H20" s="3"/>
      <c r="I20" s="3"/>
    </row>
    <row r="21" spans="2:11" ht="15" customHeight="1" x14ac:dyDescent="0.3">
      <c r="B21" s="109"/>
      <c r="C21" s="116"/>
      <c r="D21" s="117"/>
      <c r="E21" s="118"/>
      <c r="F21" s="117"/>
      <c r="G21" s="119"/>
      <c r="H21" s="3"/>
    </row>
    <row r="22" spans="2:11" ht="21.75" customHeight="1" x14ac:dyDescent="0.3">
      <c r="B22" s="190" t="s">
        <v>308</v>
      </c>
      <c r="C22" s="190"/>
      <c r="D22" s="190"/>
      <c r="E22" s="190"/>
      <c r="F22" s="190"/>
      <c r="G22" s="190"/>
      <c r="H22" s="190"/>
      <c r="I22" s="190"/>
      <c r="J22" s="190"/>
      <c r="K22" s="190"/>
    </row>
    <row r="23" spans="2:11" ht="36" x14ac:dyDescent="0.3">
      <c r="B23" s="29" t="s">
        <v>292</v>
      </c>
      <c r="C23" s="105" t="s">
        <v>293</v>
      </c>
      <c r="D23" s="29" t="s">
        <v>727</v>
      </c>
      <c r="E23" s="29" t="s">
        <v>728</v>
      </c>
      <c r="F23" s="29" t="s">
        <v>274</v>
      </c>
      <c r="G23" s="29" t="s">
        <v>729</v>
      </c>
      <c r="H23" s="29" t="s">
        <v>294</v>
      </c>
      <c r="I23" s="158" t="s">
        <v>747</v>
      </c>
      <c r="J23" s="158" t="s">
        <v>748</v>
      </c>
      <c r="K23" s="158" t="s">
        <v>749</v>
      </c>
    </row>
    <row r="24" spans="2:11" ht="18" customHeight="1" x14ac:dyDescent="0.3">
      <c r="B24" s="95" t="s">
        <v>295</v>
      </c>
      <c r="C24" s="112">
        <v>10</v>
      </c>
      <c r="D24" s="112">
        <v>8</v>
      </c>
      <c r="E24" s="113">
        <v>7</v>
      </c>
      <c r="F24" s="97">
        <v>5000</v>
      </c>
      <c r="G24" s="97">
        <v>3500</v>
      </c>
      <c r="H24" s="120" t="s">
        <v>309</v>
      </c>
      <c r="I24" s="226">
        <v>70000</v>
      </c>
      <c r="J24" s="226">
        <v>45000</v>
      </c>
      <c r="K24" s="226">
        <v>30000</v>
      </c>
    </row>
    <row r="25" spans="2:11" ht="18" customHeight="1" x14ac:dyDescent="0.3">
      <c r="B25" s="95" t="s">
        <v>297</v>
      </c>
      <c r="C25" s="112">
        <v>9</v>
      </c>
      <c r="D25" s="112">
        <v>7</v>
      </c>
      <c r="E25" s="113">
        <v>6</v>
      </c>
      <c r="F25" s="97">
        <v>5000</v>
      </c>
      <c r="G25" s="97">
        <v>3500</v>
      </c>
      <c r="H25" s="120" t="s">
        <v>309</v>
      </c>
      <c r="I25" s="227"/>
      <c r="J25" s="227"/>
      <c r="K25" s="227"/>
    </row>
    <row r="26" spans="2:11" ht="18" customHeight="1" x14ac:dyDescent="0.3">
      <c r="B26" s="95" t="s">
        <v>298</v>
      </c>
      <c r="C26" s="112">
        <v>21</v>
      </c>
      <c r="D26" s="112">
        <v>15</v>
      </c>
      <c r="E26" s="113">
        <v>14</v>
      </c>
      <c r="F26" s="97">
        <v>5000</v>
      </c>
      <c r="G26" s="97">
        <v>3500</v>
      </c>
      <c r="H26" s="120" t="s">
        <v>309</v>
      </c>
      <c r="I26" s="227"/>
      <c r="J26" s="227"/>
      <c r="K26" s="227"/>
    </row>
    <row r="27" spans="2:11" ht="18" customHeight="1" x14ac:dyDescent="0.3">
      <c r="B27" s="95" t="s">
        <v>299</v>
      </c>
      <c r="C27" s="112">
        <v>19</v>
      </c>
      <c r="D27" s="112">
        <v>15</v>
      </c>
      <c r="E27" s="113">
        <v>14</v>
      </c>
      <c r="F27" s="97">
        <v>5000</v>
      </c>
      <c r="G27" s="97">
        <v>3500</v>
      </c>
      <c r="H27" s="120" t="s">
        <v>309</v>
      </c>
      <c r="I27" s="227"/>
      <c r="J27" s="227"/>
      <c r="K27" s="227"/>
    </row>
    <row r="28" spans="2:11" ht="18" customHeight="1" x14ac:dyDescent="0.3">
      <c r="B28" s="95" t="s">
        <v>300</v>
      </c>
      <c r="C28" s="112">
        <v>19</v>
      </c>
      <c r="D28" s="112">
        <v>15</v>
      </c>
      <c r="E28" s="113">
        <v>14</v>
      </c>
      <c r="F28" s="97">
        <v>7500</v>
      </c>
      <c r="G28" s="97">
        <v>5250</v>
      </c>
      <c r="H28" s="120" t="s">
        <v>309</v>
      </c>
      <c r="I28" s="227"/>
      <c r="J28" s="227"/>
      <c r="K28" s="227"/>
    </row>
    <row r="29" spans="2:11" ht="18" customHeight="1" x14ac:dyDescent="0.3">
      <c r="B29" s="95" t="s">
        <v>301</v>
      </c>
      <c r="C29" s="112">
        <v>23</v>
      </c>
      <c r="D29" s="112">
        <v>18</v>
      </c>
      <c r="E29" s="113">
        <v>17</v>
      </c>
      <c r="F29" s="97">
        <v>7500</v>
      </c>
      <c r="G29" s="97">
        <v>5250</v>
      </c>
      <c r="H29" s="120" t="s">
        <v>309</v>
      </c>
      <c r="I29" s="227"/>
      <c r="J29" s="227"/>
      <c r="K29" s="227"/>
    </row>
    <row r="30" spans="2:11" ht="18" customHeight="1" x14ac:dyDescent="0.3">
      <c r="B30" s="95" t="s">
        <v>302</v>
      </c>
      <c r="C30" s="112">
        <v>25</v>
      </c>
      <c r="D30" s="112">
        <v>19.5</v>
      </c>
      <c r="E30" s="113">
        <v>18.5</v>
      </c>
      <c r="F30" s="97">
        <v>7500</v>
      </c>
      <c r="G30" s="97">
        <v>5250</v>
      </c>
      <c r="H30" s="120" t="s">
        <v>309</v>
      </c>
      <c r="I30" s="227"/>
      <c r="J30" s="227"/>
      <c r="K30" s="227"/>
    </row>
    <row r="31" spans="2:11" ht="18" customHeight="1" x14ac:dyDescent="0.3">
      <c r="B31" s="95" t="s">
        <v>303</v>
      </c>
      <c r="C31" s="112">
        <v>29</v>
      </c>
      <c r="D31" s="112">
        <v>23</v>
      </c>
      <c r="E31" s="113">
        <v>22.5</v>
      </c>
      <c r="F31" s="97">
        <v>10000</v>
      </c>
      <c r="G31" s="97">
        <v>7000</v>
      </c>
      <c r="H31" s="120" t="s">
        <v>309</v>
      </c>
      <c r="I31" s="227"/>
      <c r="J31" s="227"/>
      <c r="K31" s="227"/>
    </row>
    <row r="32" spans="2:11" ht="18" customHeight="1" x14ac:dyDescent="0.3">
      <c r="B32" s="95" t="s">
        <v>304</v>
      </c>
      <c r="C32" s="112">
        <v>33</v>
      </c>
      <c r="D32" s="112">
        <v>27</v>
      </c>
      <c r="E32" s="113">
        <v>26</v>
      </c>
      <c r="F32" s="97">
        <v>10000</v>
      </c>
      <c r="G32" s="97">
        <v>7000</v>
      </c>
      <c r="H32" s="120" t="s">
        <v>309</v>
      </c>
      <c r="I32" s="227"/>
      <c r="J32" s="227"/>
      <c r="K32" s="227"/>
    </row>
    <row r="33" spans="2:11" ht="18" customHeight="1" x14ac:dyDescent="0.3">
      <c r="B33" s="95" t="s">
        <v>305</v>
      </c>
      <c r="C33" s="112">
        <v>46</v>
      </c>
      <c r="D33" s="112">
        <v>40</v>
      </c>
      <c r="E33" s="113">
        <v>39</v>
      </c>
      <c r="F33" s="97">
        <v>12500</v>
      </c>
      <c r="G33" s="97">
        <v>8750</v>
      </c>
      <c r="H33" s="120" t="s">
        <v>309</v>
      </c>
      <c r="I33" s="227"/>
      <c r="J33" s="227"/>
      <c r="K33" s="227"/>
    </row>
    <row r="34" spans="2:11" ht="18" customHeight="1" x14ac:dyDescent="0.3">
      <c r="B34" s="95" t="s">
        <v>306</v>
      </c>
      <c r="C34" s="112">
        <v>71</v>
      </c>
      <c r="D34" s="112">
        <v>60</v>
      </c>
      <c r="E34" s="113">
        <v>58</v>
      </c>
      <c r="F34" s="97">
        <v>20000</v>
      </c>
      <c r="G34" s="97">
        <v>14000</v>
      </c>
      <c r="H34" s="120" t="s">
        <v>309</v>
      </c>
      <c r="I34" s="227"/>
      <c r="J34" s="227"/>
      <c r="K34" s="227"/>
    </row>
    <row r="35" spans="2:11" ht="18" customHeight="1" x14ac:dyDescent="0.3">
      <c r="B35" s="95" t="s">
        <v>307</v>
      </c>
      <c r="C35" s="112">
        <v>96</v>
      </c>
      <c r="D35" s="112">
        <v>82</v>
      </c>
      <c r="E35" s="113">
        <v>81</v>
      </c>
      <c r="F35" s="97">
        <v>20000</v>
      </c>
      <c r="G35" s="97">
        <v>14000</v>
      </c>
      <c r="H35" s="120" t="s">
        <v>309</v>
      </c>
      <c r="I35" s="228"/>
      <c r="J35" s="228"/>
      <c r="K35" s="228"/>
    </row>
    <row r="36" spans="2:11" ht="15.75" customHeight="1" x14ac:dyDescent="0.3">
      <c r="B36" s="154" t="s">
        <v>725</v>
      </c>
    </row>
    <row r="37" spans="2:11" ht="15.75" customHeight="1" x14ac:dyDescent="0.3">
      <c r="B37" s="154"/>
    </row>
    <row r="38" spans="2:11" ht="15.75" customHeight="1" x14ac:dyDescent="0.3">
      <c r="B38" s="191"/>
      <c r="C38" s="191"/>
      <c r="D38" s="191"/>
      <c r="E38" s="191"/>
      <c r="F38" s="191"/>
      <c r="G38" s="191"/>
      <c r="H38" s="191"/>
    </row>
    <row r="39" spans="2:11" ht="15.75" customHeight="1" x14ac:dyDescent="0.3">
      <c r="B39" s="150" t="s">
        <v>723</v>
      </c>
    </row>
    <row r="40" spans="2:11" ht="15.75" customHeight="1" x14ac:dyDescent="0.3"/>
    <row r="41" spans="2:11" ht="27.6" customHeight="1" x14ac:dyDescent="0.3">
      <c r="B41" s="221" t="s">
        <v>717</v>
      </c>
      <c r="C41" s="221"/>
      <c r="D41" s="221"/>
      <c r="E41" s="221"/>
      <c r="F41" s="221"/>
      <c r="G41" s="221"/>
      <c r="H41" s="221"/>
    </row>
    <row r="42" spans="2:11" ht="15.75" customHeight="1" x14ac:dyDescent="0.3">
      <c r="B42" s="151" t="s">
        <v>718</v>
      </c>
      <c r="C42" s="151"/>
      <c r="D42" s="151"/>
      <c r="E42" s="151"/>
      <c r="F42" s="151"/>
      <c r="G42" s="151"/>
      <c r="H42" s="151"/>
    </row>
    <row r="43" spans="2:11" ht="52.8" customHeight="1" x14ac:dyDescent="0.3">
      <c r="B43" s="220" t="s">
        <v>724</v>
      </c>
      <c r="C43" s="220"/>
      <c r="D43" s="220"/>
      <c r="E43" s="220"/>
      <c r="F43" s="220"/>
      <c r="G43" s="220"/>
      <c r="H43" s="220"/>
    </row>
    <row r="44" spans="2:11" ht="20.399999999999999" customHeight="1" x14ac:dyDescent="0.3">
      <c r="B44" s="220" t="s">
        <v>719</v>
      </c>
      <c r="C44" s="220"/>
      <c r="D44" s="220"/>
      <c r="E44" s="220"/>
      <c r="F44" s="220"/>
      <c r="G44" s="220"/>
      <c r="H44" s="220"/>
    </row>
    <row r="45" spans="2:11" ht="25.8" customHeight="1" x14ac:dyDescent="0.3">
      <c r="B45" s="220" t="s">
        <v>720</v>
      </c>
      <c r="C45" s="220"/>
      <c r="D45" s="220"/>
      <c r="E45" s="220"/>
      <c r="F45" s="220"/>
      <c r="G45" s="220"/>
      <c r="H45" s="220"/>
    </row>
    <row r="46" spans="2:11" ht="36.6" customHeight="1" x14ac:dyDescent="0.3">
      <c r="B46" s="220" t="s">
        <v>721</v>
      </c>
      <c r="C46" s="220"/>
      <c r="D46" s="220"/>
      <c r="E46" s="220"/>
      <c r="F46" s="220"/>
      <c r="G46" s="220"/>
      <c r="H46" s="220"/>
    </row>
    <row r="47" spans="2:11" ht="15.75" customHeight="1" x14ac:dyDescent="0.3">
      <c r="B47" s="220" t="s">
        <v>722</v>
      </c>
      <c r="C47" s="220"/>
      <c r="D47" s="220"/>
      <c r="E47" s="220"/>
      <c r="F47" s="220"/>
      <c r="G47" s="220"/>
      <c r="H47" s="220"/>
    </row>
    <row r="48" spans="2:11" ht="27" customHeight="1" x14ac:dyDescent="0.3">
      <c r="B48" s="152" t="s">
        <v>741</v>
      </c>
      <c r="C48" s="153"/>
      <c r="D48" s="153"/>
      <c r="E48" s="153"/>
      <c r="F48" s="153"/>
      <c r="G48" s="153"/>
      <c r="H48" s="153"/>
    </row>
    <row r="49" spans="2:11" ht="15.75" customHeight="1" x14ac:dyDescent="0.3"/>
    <row r="50" spans="2:11" ht="15.75" customHeight="1" x14ac:dyDescent="0.3"/>
    <row r="51" spans="2:11" ht="28.8" customHeight="1" x14ac:dyDescent="0.3">
      <c r="B51" s="221" t="s">
        <v>742</v>
      </c>
      <c r="C51" s="221"/>
      <c r="D51" s="221"/>
      <c r="E51" s="221"/>
      <c r="F51" s="221"/>
      <c r="G51" s="221"/>
      <c r="H51" s="221"/>
      <c r="I51" s="157"/>
      <c r="J51" s="157"/>
      <c r="K51" s="157"/>
    </row>
    <row r="52" spans="2:11" ht="28.8" customHeight="1" x14ac:dyDescent="0.3">
      <c r="B52" s="151" t="s">
        <v>718</v>
      </c>
      <c r="C52" s="151"/>
      <c r="D52" s="151"/>
      <c r="E52" s="151"/>
      <c r="F52" s="151"/>
      <c r="G52" s="151"/>
      <c r="H52" s="151"/>
      <c r="I52" s="151"/>
      <c r="J52" s="151"/>
      <c r="K52" s="151"/>
    </row>
    <row r="53" spans="2:11" ht="22.8" customHeight="1" x14ac:dyDescent="0.3">
      <c r="B53" s="220" t="s">
        <v>743</v>
      </c>
      <c r="C53" s="220"/>
      <c r="D53" s="220"/>
      <c r="E53" s="220"/>
      <c r="F53" s="220"/>
      <c r="G53" s="220"/>
      <c r="H53" s="220"/>
      <c r="I53" s="220"/>
      <c r="J53" s="220"/>
      <c r="K53" s="220"/>
    </row>
    <row r="54" spans="2:11" ht="28.8" customHeight="1" x14ac:dyDescent="0.3">
      <c r="B54" s="151" t="s">
        <v>744</v>
      </c>
      <c r="C54" s="151"/>
      <c r="D54" s="151"/>
      <c r="E54" s="151"/>
      <c r="F54" s="151"/>
      <c r="G54" s="151"/>
      <c r="H54" s="151"/>
      <c r="I54" s="151"/>
      <c r="J54" s="151"/>
      <c r="K54" s="151"/>
    </row>
    <row r="55" spans="2:11" ht="51" customHeight="1" x14ac:dyDescent="0.3">
      <c r="B55" s="220" t="s">
        <v>745</v>
      </c>
      <c r="C55" s="220"/>
      <c r="D55" s="220"/>
      <c r="E55" s="220"/>
      <c r="F55" s="220"/>
      <c r="G55" s="220"/>
      <c r="H55" s="220"/>
      <c r="I55" s="220"/>
      <c r="J55" s="220"/>
      <c r="K55" s="220"/>
    </row>
    <row r="56" spans="2:11" ht="28.8" customHeight="1" x14ac:dyDescent="0.3">
      <c r="B56" s="151" t="s">
        <v>746</v>
      </c>
      <c r="C56" s="151"/>
      <c r="D56" s="151"/>
      <c r="E56" s="151"/>
      <c r="F56" s="151"/>
      <c r="G56" s="151"/>
      <c r="H56" s="151"/>
      <c r="I56" s="151"/>
      <c r="J56" s="151"/>
      <c r="K56" s="151"/>
    </row>
    <row r="57" spans="2:11" ht="15.75" customHeight="1" x14ac:dyDescent="0.3"/>
    <row r="58" spans="2:11" ht="15.75" customHeight="1" x14ac:dyDescent="0.3"/>
    <row r="59" spans="2:11" ht="15.75" customHeight="1" x14ac:dyDescent="0.3"/>
    <row r="60" spans="2:11" ht="15.75" customHeight="1" x14ac:dyDescent="0.3"/>
    <row r="61" spans="2:11" ht="15.75" customHeight="1" x14ac:dyDescent="0.3"/>
    <row r="62" spans="2:11" ht="15.75" customHeight="1" x14ac:dyDescent="0.3"/>
    <row r="63" spans="2:11" ht="15.75" customHeight="1" x14ac:dyDescent="0.3"/>
    <row r="64" spans="2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20">
    <mergeCell ref="B53:K53"/>
    <mergeCell ref="B55:K55"/>
    <mergeCell ref="B6:K6"/>
    <mergeCell ref="B2:K3"/>
    <mergeCell ref="I8:I19"/>
    <mergeCell ref="J8:J19"/>
    <mergeCell ref="K8:K19"/>
    <mergeCell ref="B22:K22"/>
    <mergeCell ref="I24:I35"/>
    <mergeCell ref="J24:J35"/>
    <mergeCell ref="K24:K35"/>
    <mergeCell ref="B4:G4"/>
    <mergeCell ref="B46:H46"/>
    <mergeCell ref="B47:H47"/>
    <mergeCell ref="B43:H43"/>
    <mergeCell ref="B44:H44"/>
    <mergeCell ref="B38:H38"/>
    <mergeCell ref="B41:H41"/>
    <mergeCell ref="B45:H45"/>
    <mergeCell ref="B51:H5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1000"/>
  <sheetViews>
    <sheetView showGridLines="0" topLeftCell="B1" zoomScaleNormal="100" workbookViewId="0">
      <selection activeCell="G13" sqref="G13"/>
    </sheetView>
  </sheetViews>
  <sheetFormatPr defaultColWidth="14.44140625" defaultRowHeight="14.4" x14ac:dyDescent="0.3"/>
  <cols>
    <col min="1" max="1" width="2" customWidth="1"/>
    <col min="2" max="2" width="32" customWidth="1"/>
    <col min="3" max="3" width="16.6640625" customWidth="1"/>
    <col min="4" max="5" width="22.33203125" style="163" customWidth="1"/>
    <col min="6" max="6" width="23" style="163" customWidth="1"/>
    <col min="7" max="7" width="8.6640625" customWidth="1"/>
    <col min="8" max="8" width="40.21875" customWidth="1"/>
    <col min="9" max="25" width="8.6640625" customWidth="1"/>
  </cols>
  <sheetData>
    <row r="1" spans="2:8" ht="15" customHeight="1" x14ac:dyDescent="0.3">
      <c r="C1" s="121"/>
      <c r="E1" s="121"/>
      <c r="F1" s="121"/>
    </row>
    <row r="2" spans="2:8" ht="31.5" customHeight="1" x14ac:dyDescent="0.3">
      <c r="B2" s="188" t="s">
        <v>310</v>
      </c>
      <c r="C2" s="188"/>
      <c r="D2" s="188"/>
      <c r="E2" s="188"/>
      <c r="F2" s="188"/>
    </row>
    <row r="3" spans="2:8" ht="15" customHeight="1" x14ac:dyDescent="0.3">
      <c r="C3" s="121"/>
      <c r="E3" s="121"/>
      <c r="F3" s="121"/>
    </row>
    <row r="4" spans="2:8" ht="15" customHeight="1" x14ac:dyDescent="0.3">
      <c r="C4" s="121"/>
      <c r="E4" s="121"/>
      <c r="F4" s="121"/>
    </row>
    <row r="5" spans="2:8" ht="61.2" customHeight="1" x14ac:dyDescent="0.3">
      <c r="B5" s="168" t="s">
        <v>292</v>
      </c>
      <c r="C5" s="169" t="s">
        <v>311</v>
      </c>
      <c r="D5" s="168" t="s">
        <v>752</v>
      </c>
      <c r="E5" s="169" t="s">
        <v>753</v>
      </c>
      <c r="F5" s="169" t="s">
        <v>754</v>
      </c>
      <c r="H5" s="229"/>
    </row>
    <row r="6" spans="2:8" ht="30.6" customHeight="1" x14ac:dyDescent="0.3">
      <c r="B6" s="170" t="s">
        <v>304</v>
      </c>
      <c r="C6" s="171">
        <v>22.5</v>
      </c>
      <c r="D6" s="173">
        <v>32.5</v>
      </c>
      <c r="E6" s="174">
        <v>27</v>
      </c>
      <c r="F6" s="174">
        <v>26</v>
      </c>
      <c r="H6" s="229"/>
    </row>
    <row r="7" spans="2:8" ht="30.6" customHeight="1" x14ac:dyDescent="0.3">
      <c r="B7" s="170" t="s">
        <v>303</v>
      </c>
      <c r="C7" s="172">
        <v>19</v>
      </c>
      <c r="D7" s="173">
        <v>29</v>
      </c>
      <c r="E7" s="174">
        <v>23</v>
      </c>
      <c r="F7" s="174">
        <v>22.5</v>
      </c>
      <c r="H7" s="229"/>
    </row>
    <row r="8" spans="2:8" ht="30.6" customHeight="1" x14ac:dyDescent="0.3">
      <c r="B8" s="170" t="s">
        <v>300</v>
      </c>
      <c r="C8" s="171">
        <v>8.75</v>
      </c>
      <c r="D8" s="173">
        <v>18.5</v>
      </c>
      <c r="E8" s="174">
        <v>15</v>
      </c>
      <c r="F8" s="174">
        <v>14</v>
      </c>
      <c r="H8" s="229"/>
    </row>
    <row r="9" spans="2:8" ht="30.6" customHeight="1" x14ac:dyDescent="0.3">
      <c r="B9" s="170" t="s">
        <v>295</v>
      </c>
      <c r="C9" s="171">
        <v>5</v>
      </c>
      <c r="D9" s="173">
        <v>9.5</v>
      </c>
      <c r="E9" s="174">
        <v>8</v>
      </c>
      <c r="F9" s="174">
        <v>7</v>
      </c>
      <c r="H9" s="229"/>
    </row>
    <row r="10" spans="2:8" ht="30.6" customHeight="1" x14ac:dyDescent="0.3">
      <c r="B10" s="170" t="s">
        <v>301</v>
      </c>
      <c r="C10" s="171">
        <v>12.5</v>
      </c>
      <c r="D10" s="173">
        <v>22.5</v>
      </c>
      <c r="E10" s="174">
        <v>18</v>
      </c>
      <c r="F10" s="174">
        <v>17</v>
      </c>
      <c r="H10" s="229"/>
    </row>
    <row r="11" spans="2:8" ht="30.6" customHeight="1" x14ac:dyDescent="0.3">
      <c r="B11" s="170" t="s">
        <v>302</v>
      </c>
      <c r="C11" s="171">
        <v>14</v>
      </c>
      <c r="D11" s="173">
        <v>24.5</v>
      </c>
      <c r="E11" s="174">
        <v>19.5</v>
      </c>
      <c r="F11" s="174">
        <v>18.5</v>
      </c>
      <c r="H11" s="229"/>
    </row>
    <row r="12" spans="2:8" ht="30.6" customHeight="1" x14ac:dyDescent="0.3">
      <c r="B12" s="170" t="s">
        <v>298</v>
      </c>
      <c r="C12" s="172">
        <v>8.5</v>
      </c>
      <c r="D12" s="173">
        <v>21</v>
      </c>
      <c r="E12" s="174">
        <v>15</v>
      </c>
      <c r="F12" s="174">
        <v>14</v>
      </c>
      <c r="H12" s="229"/>
    </row>
    <row r="13" spans="2:8" ht="30.6" customHeight="1" x14ac:dyDescent="0.3">
      <c r="B13" s="170" t="s">
        <v>299</v>
      </c>
      <c r="C13" s="172">
        <v>10</v>
      </c>
      <c r="D13" s="173">
        <v>19</v>
      </c>
      <c r="E13" s="174">
        <v>15</v>
      </c>
      <c r="F13" s="174">
        <v>14</v>
      </c>
      <c r="H13" s="229"/>
    </row>
    <row r="14" spans="2:8" ht="30.6" customHeight="1" x14ac:dyDescent="0.3">
      <c r="B14" s="170" t="s">
        <v>305</v>
      </c>
      <c r="C14" s="171">
        <v>34</v>
      </c>
      <c r="D14" s="173">
        <v>45.5</v>
      </c>
      <c r="E14" s="174">
        <v>40</v>
      </c>
      <c r="F14" s="174">
        <v>39</v>
      </c>
      <c r="H14" s="229"/>
    </row>
    <row r="15" spans="2:8" ht="30.6" customHeight="1" x14ac:dyDescent="0.3">
      <c r="B15" s="170" t="s">
        <v>307</v>
      </c>
      <c r="C15" s="171">
        <v>64.5</v>
      </c>
      <c r="D15" s="173">
        <v>95.5</v>
      </c>
      <c r="E15" s="174">
        <v>82</v>
      </c>
      <c r="F15" s="174">
        <v>81</v>
      </c>
      <c r="H15" s="229"/>
    </row>
    <row r="16" spans="2:8" ht="30.6" customHeight="1" x14ac:dyDescent="0.3">
      <c r="B16" s="170" t="s">
        <v>297</v>
      </c>
      <c r="C16" s="171">
        <v>3.2</v>
      </c>
      <c r="D16" s="173">
        <v>8.5</v>
      </c>
      <c r="E16" s="174">
        <v>7</v>
      </c>
      <c r="F16" s="174">
        <v>6</v>
      </c>
      <c r="H16" s="229"/>
    </row>
    <row r="17" spans="2:8" ht="30.6" customHeight="1" x14ac:dyDescent="0.3">
      <c r="B17" s="170" t="s">
        <v>306</v>
      </c>
      <c r="C17" s="172">
        <v>52.5</v>
      </c>
      <c r="D17" s="173">
        <v>71</v>
      </c>
      <c r="E17" s="174">
        <v>60</v>
      </c>
      <c r="F17" s="174">
        <v>58</v>
      </c>
      <c r="H17" s="229"/>
    </row>
    <row r="18" spans="2:8" ht="20.399999999999999" customHeight="1" x14ac:dyDescent="0.3">
      <c r="B18" s="164"/>
      <c r="C18" s="165"/>
      <c r="D18" s="166"/>
      <c r="E18" s="165"/>
      <c r="F18" s="167"/>
      <c r="H18" s="156"/>
    </row>
    <row r="19" spans="2:8" ht="15" customHeight="1" x14ac:dyDescent="0.3">
      <c r="B19" s="175" t="s">
        <v>755</v>
      </c>
      <c r="C19" s="121"/>
      <c r="E19" s="121"/>
      <c r="F19" s="121"/>
    </row>
    <row r="20" spans="2:8" ht="15" customHeight="1" x14ac:dyDescent="0.3">
      <c r="B20" s="191"/>
      <c r="C20" s="191"/>
      <c r="D20" s="191"/>
      <c r="E20" s="191"/>
      <c r="F20" s="191"/>
    </row>
    <row r="21" spans="2:8" ht="15.75" customHeight="1" x14ac:dyDescent="0.3">
      <c r="B21" s="191"/>
      <c r="C21" s="191"/>
      <c r="D21" s="191"/>
      <c r="E21" s="191"/>
      <c r="F21" s="191"/>
    </row>
    <row r="22" spans="2:8" ht="15.75" customHeight="1" x14ac:dyDescent="0.3">
      <c r="C22" s="121"/>
      <c r="E22" s="121"/>
      <c r="F22" s="121"/>
    </row>
    <row r="23" spans="2:8" ht="15.75" customHeight="1" x14ac:dyDescent="0.3">
      <c r="C23" s="121"/>
      <c r="E23" s="121"/>
      <c r="F23" s="121"/>
    </row>
    <row r="24" spans="2:8" ht="15.75" customHeight="1" x14ac:dyDescent="0.3">
      <c r="C24" s="121"/>
      <c r="E24" s="121"/>
      <c r="F24" s="121"/>
    </row>
    <row r="25" spans="2:8" ht="15.75" customHeight="1" x14ac:dyDescent="0.3">
      <c r="C25" s="121"/>
      <c r="E25" s="121"/>
      <c r="F25" s="121"/>
    </row>
    <row r="26" spans="2:8" ht="15.75" customHeight="1" x14ac:dyDescent="0.3">
      <c r="C26" s="121"/>
      <c r="E26" s="121"/>
      <c r="F26" s="121"/>
    </row>
    <row r="27" spans="2:8" ht="15.75" customHeight="1" x14ac:dyDescent="0.3">
      <c r="C27" s="121"/>
      <c r="E27" s="121"/>
      <c r="F27" s="121"/>
    </row>
    <row r="28" spans="2:8" ht="15.75" customHeight="1" x14ac:dyDescent="0.3">
      <c r="C28" s="121"/>
      <c r="E28" s="121"/>
      <c r="F28" s="121"/>
    </row>
    <row r="29" spans="2:8" ht="15.75" customHeight="1" x14ac:dyDescent="0.3">
      <c r="C29" s="121"/>
      <c r="E29" s="121"/>
      <c r="F29" s="121"/>
    </row>
    <row r="30" spans="2:8" ht="15.75" customHeight="1" x14ac:dyDescent="0.3">
      <c r="C30" s="121"/>
      <c r="E30" s="121"/>
      <c r="F30" s="121"/>
    </row>
    <row r="31" spans="2:8" ht="15.75" customHeight="1" x14ac:dyDescent="0.3">
      <c r="C31" s="121"/>
      <c r="E31" s="121"/>
      <c r="F31" s="121"/>
    </row>
    <row r="32" spans="2:8" ht="15.75" customHeight="1" x14ac:dyDescent="0.3">
      <c r="C32" s="121"/>
      <c r="E32" s="121"/>
      <c r="F32" s="121"/>
    </row>
    <row r="33" spans="3:6" ht="15.75" customHeight="1" x14ac:dyDescent="0.3">
      <c r="C33" s="121"/>
      <c r="E33" s="121"/>
      <c r="F33" s="121"/>
    </row>
    <row r="34" spans="3:6" ht="15.75" customHeight="1" x14ac:dyDescent="0.3">
      <c r="C34" s="121"/>
      <c r="E34" s="121"/>
      <c r="F34" s="121"/>
    </row>
    <row r="35" spans="3:6" ht="15.75" customHeight="1" x14ac:dyDescent="0.3">
      <c r="C35" s="121"/>
      <c r="E35" s="121"/>
      <c r="F35" s="121"/>
    </row>
    <row r="36" spans="3:6" ht="15.75" customHeight="1" x14ac:dyDescent="0.3">
      <c r="C36" s="121"/>
      <c r="E36" s="121"/>
      <c r="F36" s="121"/>
    </row>
    <row r="37" spans="3:6" ht="15.75" customHeight="1" x14ac:dyDescent="0.3">
      <c r="C37" s="121"/>
      <c r="E37" s="121"/>
      <c r="F37" s="121"/>
    </row>
    <row r="38" spans="3:6" ht="15.75" customHeight="1" x14ac:dyDescent="0.3">
      <c r="C38" s="121"/>
      <c r="E38" s="121"/>
      <c r="F38" s="121"/>
    </row>
    <row r="39" spans="3:6" ht="15.75" customHeight="1" x14ac:dyDescent="0.3">
      <c r="C39" s="121"/>
      <c r="E39" s="121"/>
      <c r="F39" s="121"/>
    </row>
    <row r="40" spans="3:6" ht="15.75" customHeight="1" x14ac:dyDescent="0.3">
      <c r="C40" s="121"/>
      <c r="E40" s="121"/>
      <c r="F40" s="121"/>
    </row>
    <row r="41" spans="3:6" ht="15.75" customHeight="1" x14ac:dyDescent="0.3">
      <c r="C41" s="121"/>
      <c r="E41" s="121"/>
      <c r="F41" s="121"/>
    </row>
    <row r="42" spans="3:6" ht="15.75" customHeight="1" x14ac:dyDescent="0.3">
      <c r="C42" s="121"/>
      <c r="E42" s="121"/>
      <c r="F42" s="121"/>
    </row>
    <row r="43" spans="3:6" ht="15.75" customHeight="1" x14ac:dyDescent="0.3">
      <c r="C43" s="121"/>
      <c r="E43" s="121"/>
      <c r="F43" s="121"/>
    </row>
    <row r="44" spans="3:6" ht="15.75" customHeight="1" x14ac:dyDescent="0.3">
      <c r="C44" s="121"/>
      <c r="E44" s="121"/>
      <c r="F44" s="121"/>
    </row>
    <row r="45" spans="3:6" ht="15.75" customHeight="1" x14ac:dyDescent="0.3">
      <c r="C45" s="121"/>
      <c r="E45" s="121"/>
      <c r="F45" s="121"/>
    </row>
    <row r="46" spans="3:6" ht="15.75" customHeight="1" x14ac:dyDescent="0.3">
      <c r="C46" s="121"/>
      <c r="E46" s="121"/>
      <c r="F46" s="121"/>
    </row>
    <row r="47" spans="3:6" ht="15.75" customHeight="1" x14ac:dyDescent="0.3">
      <c r="C47" s="121"/>
      <c r="E47" s="121"/>
      <c r="F47" s="121"/>
    </row>
    <row r="48" spans="3:6" ht="15.75" customHeight="1" x14ac:dyDescent="0.3">
      <c r="C48" s="121"/>
      <c r="E48" s="121"/>
      <c r="F48" s="121"/>
    </row>
    <row r="49" spans="3:6" ht="15.75" customHeight="1" x14ac:dyDescent="0.3">
      <c r="C49" s="121"/>
      <c r="E49" s="121"/>
      <c r="F49" s="121"/>
    </row>
    <row r="50" spans="3:6" ht="15.75" customHeight="1" x14ac:dyDescent="0.3">
      <c r="C50" s="121"/>
      <c r="E50" s="121"/>
      <c r="F50" s="121"/>
    </row>
    <row r="51" spans="3:6" ht="15.75" customHeight="1" x14ac:dyDescent="0.3">
      <c r="C51" s="121"/>
      <c r="E51" s="121"/>
      <c r="F51" s="121"/>
    </row>
    <row r="52" spans="3:6" ht="15.75" customHeight="1" x14ac:dyDescent="0.3">
      <c r="C52" s="121"/>
      <c r="E52" s="121"/>
      <c r="F52" s="121"/>
    </row>
    <row r="53" spans="3:6" ht="15.75" customHeight="1" x14ac:dyDescent="0.3">
      <c r="C53" s="121"/>
      <c r="E53" s="121"/>
      <c r="F53" s="121"/>
    </row>
    <row r="54" spans="3:6" ht="15.75" customHeight="1" x14ac:dyDescent="0.3">
      <c r="C54" s="121"/>
      <c r="E54" s="121"/>
      <c r="F54" s="121"/>
    </row>
    <row r="55" spans="3:6" ht="15.75" customHeight="1" x14ac:dyDescent="0.3">
      <c r="C55" s="121"/>
      <c r="E55" s="121"/>
      <c r="F55" s="121"/>
    </row>
    <row r="56" spans="3:6" ht="15.75" customHeight="1" x14ac:dyDescent="0.3">
      <c r="C56" s="121"/>
      <c r="E56" s="121"/>
      <c r="F56" s="121"/>
    </row>
    <row r="57" spans="3:6" ht="15.75" customHeight="1" x14ac:dyDescent="0.3">
      <c r="C57" s="121"/>
      <c r="E57" s="121"/>
      <c r="F57" s="121"/>
    </row>
    <row r="58" spans="3:6" ht="15.75" customHeight="1" x14ac:dyDescent="0.3">
      <c r="C58" s="121"/>
      <c r="E58" s="121"/>
      <c r="F58" s="121"/>
    </row>
    <row r="59" spans="3:6" ht="15.75" customHeight="1" x14ac:dyDescent="0.3">
      <c r="C59" s="121"/>
      <c r="E59" s="121"/>
      <c r="F59" s="121"/>
    </row>
    <row r="60" spans="3:6" ht="15.75" customHeight="1" x14ac:dyDescent="0.3">
      <c r="C60" s="121"/>
      <c r="E60" s="121"/>
      <c r="F60" s="121"/>
    </row>
    <row r="61" spans="3:6" ht="15.75" customHeight="1" x14ac:dyDescent="0.3">
      <c r="C61" s="121"/>
      <c r="E61" s="121"/>
      <c r="F61" s="121"/>
    </row>
    <row r="62" spans="3:6" ht="15.75" customHeight="1" x14ac:dyDescent="0.3">
      <c r="C62" s="121"/>
      <c r="E62" s="121"/>
      <c r="F62" s="121"/>
    </row>
    <row r="63" spans="3:6" ht="15.75" customHeight="1" x14ac:dyDescent="0.3">
      <c r="C63" s="121"/>
      <c r="E63" s="121"/>
      <c r="F63" s="121"/>
    </row>
    <row r="64" spans="3:6" ht="15.75" customHeight="1" x14ac:dyDescent="0.3">
      <c r="C64" s="121"/>
      <c r="E64" s="121"/>
      <c r="F64" s="121"/>
    </row>
    <row r="65" spans="3:6" ht="15.75" customHeight="1" x14ac:dyDescent="0.3">
      <c r="C65" s="121"/>
      <c r="E65" s="121"/>
      <c r="F65" s="121"/>
    </row>
    <row r="66" spans="3:6" ht="15.75" customHeight="1" x14ac:dyDescent="0.3">
      <c r="C66" s="121"/>
      <c r="E66" s="121"/>
      <c r="F66" s="121"/>
    </row>
    <row r="67" spans="3:6" ht="15.75" customHeight="1" x14ac:dyDescent="0.3">
      <c r="C67" s="121"/>
      <c r="E67" s="121"/>
      <c r="F67" s="121"/>
    </row>
    <row r="68" spans="3:6" ht="15.75" customHeight="1" x14ac:dyDescent="0.3">
      <c r="C68" s="121"/>
      <c r="E68" s="121"/>
      <c r="F68" s="121"/>
    </row>
    <row r="69" spans="3:6" ht="15.75" customHeight="1" x14ac:dyDescent="0.3">
      <c r="C69" s="121"/>
      <c r="E69" s="121"/>
      <c r="F69" s="121"/>
    </row>
    <row r="70" spans="3:6" ht="15.75" customHeight="1" x14ac:dyDescent="0.3">
      <c r="C70" s="121"/>
      <c r="E70" s="121"/>
      <c r="F70" s="121"/>
    </row>
    <row r="71" spans="3:6" ht="15.75" customHeight="1" x14ac:dyDescent="0.3">
      <c r="C71" s="121"/>
      <c r="E71" s="121"/>
      <c r="F71" s="121"/>
    </row>
    <row r="72" spans="3:6" ht="15.75" customHeight="1" x14ac:dyDescent="0.3">
      <c r="C72" s="121"/>
      <c r="E72" s="121"/>
      <c r="F72" s="121"/>
    </row>
    <row r="73" spans="3:6" ht="15.75" customHeight="1" x14ac:dyDescent="0.3">
      <c r="C73" s="121"/>
      <c r="E73" s="121"/>
      <c r="F73" s="121"/>
    </row>
    <row r="74" spans="3:6" ht="15.75" customHeight="1" x14ac:dyDescent="0.3">
      <c r="C74" s="121"/>
      <c r="E74" s="121"/>
      <c r="F74" s="121"/>
    </row>
    <row r="75" spans="3:6" ht="15.75" customHeight="1" x14ac:dyDescent="0.3">
      <c r="C75" s="121"/>
      <c r="E75" s="121"/>
      <c r="F75" s="121"/>
    </row>
    <row r="76" spans="3:6" ht="15.75" customHeight="1" x14ac:dyDescent="0.3">
      <c r="C76" s="121"/>
      <c r="E76" s="121"/>
      <c r="F76" s="121"/>
    </row>
    <row r="77" spans="3:6" ht="15.75" customHeight="1" x14ac:dyDescent="0.3">
      <c r="C77" s="121"/>
      <c r="E77" s="121"/>
      <c r="F77" s="121"/>
    </row>
    <row r="78" spans="3:6" ht="15.75" customHeight="1" x14ac:dyDescent="0.3">
      <c r="C78" s="121"/>
      <c r="E78" s="121"/>
      <c r="F78" s="121"/>
    </row>
    <row r="79" spans="3:6" ht="15.75" customHeight="1" x14ac:dyDescent="0.3">
      <c r="C79" s="121"/>
      <c r="E79" s="121"/>
      <c r="F79" s="121"/>
    </row>
    <row r="80" spans="3:6" ht="15.75" customHeight="1" x14ac:dyDescent="0.3">
      <c r="C80" s="121"/>
      <c r="E80" s="121"/>
      <c r="F80" s="121"/>
    </row>
    <row r="81" spans="3:6" ht="15.75" customHeight="1" x14ac:dyDescent="0.3">
      <c r="C81" s="121"/>
      <c r="E81" s="121"/>
      <c r="F81" s="121"/>
    </row>
    <row r="82" spans="3:6" ht="15.75" customHeight="1" x14ac:dyDescent="0.3">
      <c r="C82" s="121"/>
      <c r="E82" s="121"/>
      <c r="F82" s="121"/>
    </row>
    <row r="83" spans="3:6" ht="15.75" customHeight="1" x14ac:dyDescent="0.3">
      <c r="C83" s="121"/>
      <c r="E83" s="121"/>
      <c r="F83" s="121"/>
    </row>
    <row r="84" spans="3:6" ht="15.75" customHeight="1" x14ac:dyDescent="0.3">
      <c r="C84" s="121"/>
      <c r="E84" s="121"/>
      <c r="F84" s="121"/>
    </row>
    <row r="85" spans="3:6" ht="15.75" customHeight="1" x14ac:dyDescent="0.3">
      <c r="C85" s="121"/>
      <c r="E85" s="121"/>
      <c r="F85" s="121"/>
    </row>
    <row r="86" spans="3:6" ht="15.75" customHeight="1" x14ac:dyDescent="0.3">
      <c r="C86" s="121"/>
      <c r="E86" s="121"/>
      <c r="F86" s="121"/>
    </row>
    <row r="87" spans="3:6" ht="15.75" customHeight="1" x14ac:dyDescent="0.3">
      <c r="C87" s="121"/>
      <c r="E87" s="121"/>
      <c r="F87" s="121"/>
    </row>
    <row r="88" spans="3:6" ht="15.75" customHeight="1" x14ac:dyDescent="0.3">
      <c r="C88" s="121"/>
      <c r="E88" s="121"/>
      <c r="F88" s="121"/>
    </row>
    <row r="89" spans="3:6" ht="15.75" customHeight="1" x14ac:dyDescent="0.3">
      <c r="C89" s="121"/>
      <c r="E89" s="121"/>
      <c r="F89" s="121"/>
    </row>
    <row r="90" spans="3:6" ht="15.75" customHeight="1" x14ac:dyDescent="0.3">
      <c r="C90" s="121"/>
      <c r="E90" s="121"/>
      <c r="F90" s="121"/>
    </row>
    <row r="91" spans="3:6" ht="15.75" customHeight="1" x14ac:dyDescent="0.3">
      <c r="C91" s="121"/>
      <c r="E91" s="121"/>
      <c r="F91" s="121"/>
    </row>
    <row r="92" spans="3:6" ht="15.75" customHeight="1" x14ac:dyDescent="0.3">
      <c r="C92" s="121"/>
      <c r="E92" s="121"/>
      <c r="F92" s="121"/>
    </row>
    <row r="93" spans="3:6" ht="15.75" customHeight="1" x14ac:dyDescent="0.3">
      <c r="C93" s="121"/>
      <c r="E93" s="121"/>
      <c r="F93" s="121"/>
    </row>
    <row r="94" spans="3:6" ht="15.75" customHeight="1" x14ac:dyDescent="0.3">
      <c r="C94" s="121"/>
      <c r="E94" s="121"/>
      <c r="F94" s="121"/>
    </row>
    <row r="95" spans="3:6" ht="15.75" customHeight="1" x14ac:dyDescent="0.3">
      <c r="C95" s="121"/>
      <c r="E95" s="121"/>
      <c r="F95" s="121"/>
    </row>
    <row r="96" spans="3:6" ht="15.75" customHeight="1" x14ac:dyDescent="0.3">
      <c r="C96" s="121"/>
      <c r="E96" s="121"/>
      <c r="F96" s="121"/>
    </row>
    <row r="97" spans="3:6" ht="15.75" customHeight="1" x14ac:dyDescent="0.3">
      <c r="C97" s="121"/>
      <c r="E97" s="121"/>
      <c r="F97" s="121"/>
    </row>
    <row r="98" spans="3:6" ht="15.75" customHeight="1" x14ac:dyDescent="0.3">
      <c r="C98" s="121"/>
      <c r="E98" s="121"/>
      <c r="F98" s="121"/>
    </row>
    <row r="99" spans="3:6" ht="15.75" customHeight="1" x14ac:dyDescent="0.3">
      <c r="C99" s="121"/>
      <c r="E99" s="121"/>
      <c r="F99" s="121"/>
    </row>
    <row r="100" spans="3:6" ht="15.75" customHeight="1" x14ac:dyDescent="0.3">
      <c r="C100" s="121"/>
      <c r="E100" s="121"/>
      <c r="F100" s="121"/>
    </row>
    <row r="101" spans="3:6" ht="15.75" customHeight="1" x14ac:dyDescent="0.3">
      <c r="C101" s="121"/>
      <c r="E101" s="121"/>
      <c r="F101" s="121"/>
    </row>
    <row r="102" spans="3:6" ht="15.75" customHeight="1" x14ac:dyDescent="0.3">
      <c r="C102" s="121"/>
      <c r="E102" s="121"/>
      <c r="F102" s="121"/>
    </row>
    <row r="103" spans="3:6" ht="15.75" customHeight="1" x14ac:dyDescent="0.3">
      <c r="C103" s="121"/>
      <c r="E103" s="121"/>
      <c r="F103" s="121"/>
    </row>
    <row r="104" spans="3:6" ht="15.75" customHeight="1" x14ac:dyDescent="0.3">
      <c r="C104" s="121"/>
      <c r="E104" s="121"/>
      <c r="F104" s="121"/>
    </row>
    <row r="105" spans="3:6" ht="15.75" customHeight="1" x14ac:dyDescent="0.3">
      <c r="C105" s="121"/>
      <c r="E105" s="121"/>
      <c r="F105" s="121"/>
    </row>
    <row r="106" spans="3:6" ht="15.75" customHeight="1" x14ac:dyDescent="0.3">
      <c r="C106" s="121"/>
      <c r="E106" s="121"/>
      <c r="F106" s="121"/>
    </row>
    <row r="107" spans="3:6" ht="15.75" customHeight="1" x14ac:dyDescent="0.3">
      <c r="C107" s="121"/>
      <c r="E107" s="121"/>
      <c r="F107" s="121"/>
    </row>
    <row r="108" spans="3:6" ht="15.75" customHeight="1" x14ac:dyDescent="0.3">
      <c r="C108" s="121"/>
      <c r="E108" s="121"/>
      <c r="F108" s="121"/>
    </row>
    <row r="109" spans="3:6" ht="15.75" customHeight="1" x14ac:dyDescent="0.3">
      <c r="C109" s="121"/>
      <c r="E109" s="121"/>
      <c r="F109" s="121"/>
    </row>
    <row r="110" spans="3:6" ht="15.75" customHeight="1" x14ac:dyDescent="0.3">
      <c r="C110" s="121"/>
      <c r="E110" s="121"/>
      <c r="F110" s="121"/>
    </row>
    <row r="111" spans="3:6" ht="15.75" customHeight="1" x14ac:dyDescent="0.3">
      <c r="C111" s="121"/>
      <c r="E111" s="121"/>
      <c r="F111" s="121"/>
    </row>
    <row r="112" spans="3:6" ht="15.75" customHeight="1" x14ac:dyDescent="0.3">
      <c r="C112" s="121"/>
      <c r="E112" s="121"/>
      <c r="F112" s="121"/>
    </row>
    <row r="113" spans="3:6" ht="15.75" customHeight="1" x14ac:dyDescent="0.3">
      <c r="C113" s="121"/>
      <c r="E113" s="121"/>
      <c r="F113" s="121"/>
    </row>
    <row r="114" spans="3:6" ht="15.75" customHeight="1" x14ac:dyDescent="0.3">
      <c r="C114" s="121"/>
      <c r="E114" s="121"/>
      <c r="F114" s="121"/>
    </row>
    <row r="115" spans="3:6" ht="15.75" customHeight="1" x14ac:dyDescent="0.3">
      <c r="C115" s="121"/>
      <c r="E115" s="121"/>
      <c r="F115" s="121"/>
    </row>
    <row r="116" spans="3:6" ht="15.75" customHeight="1" x14ac:dyDescent="0.3">
      <c r="C116" s="121"/>
      <c r="E116" s="121"/>
      <c r="F116" s="121"/>
    </row>
    <row r="117" spans="3:6" ht="15.75" customHeight="1" x14ac:dyDescent="0.3">
      <c r="C117" s="121"/>
      <c r="E117" s="121"/>
      <c r="F117" s="121"/>
    </row>
    <row r="118" spans="3:6" ht="15.75" customHeight="1" x14ac:dyDescent="0.3">
      <c r="C118" s="121"/>
      <c r="E118" s="121"/>
      <c r="F118" s="121"/>
    </row>
    <row r="119" spans="3:6" ht="15.75" customHeight="1" x14ac:dyDescent="0.3">
      <c r="C119" s="121"/>
      <c r="E119" s="121"/>
      <c r="F119" s="121"/>
    </row>
    <row r="120" spans="3:6" ht="15.75" customHeight="1" x14ac:dyDescent="0.3">
      <c r="C120" s="121"/>
      <c r="E120" s="121"/>
      <c r="F120" s="121"/>
    </row>
    <row r="121" spans="3:6" ht="15.75" customHeight="1" x14ac:dyDescent="0.3">
      <c r="C121" s="121"/>
      <c r="E121" s="121"/>
      <c r="F121" s="121"/>
    </row>
    <row r="122" spans="3:6" ht="15.75" customHeight="1" x14ac:dyDescent="0.3">
      <c r="C122" s="121"/>
      <c r="E122" s="121"/>
      <c r="F122" s="121"/>
    </row>
    <row r="123" spans="3:6" ht="15.75" customHeight="1" x14ac:dyDescent="0.3">
      <c r="C123" s="121"/>
      <c r="E123" s="121"/>
      <c r="F123" s="121"/>
    </row>
    <row r="124" spans="3:6" ht="15.75" customHeight="1" x14ac:dyDescent="0.3">
      <c r="C124" s="121"/>
      <c r="E124" s="121"/>
      <c r="F124" s="121"/>
    </row>
    <row r="125" spans="3:6" ht="15.75" customHeight="1" x14ac:dyDescent="0.3">
      <c r="C125" s="121"/>
      <c r="E125" s="121"/>
      <c r="F125" s="121"/>
    </row>
    <row r="126" spans="3:6" ht="15.75" customHeight="1" x14ac:dyDescent="0.3">
      <c r="C126" s="121"/>
      <c r="E126" s="121"/>
      <c r="F126" s="121"/>
    </row>
    <row r="127" spans="3:6" ht="15.75" customHeight="1" x14ac:dyDescent="0.3">
      <c r="C127" s="121"/>
      <c r="E127" s="121"/>
      <c r="F127" s="121"/>
    </row>
    <row r="128" spans="3:6" ht="15.75" customHeight="1" x14ac:dyDescent="0.3">
      <c r="C128" s="121"/>
      <c r="E128" s="121"/>
      <c r="F128" s="121"/>
    </row>
    <row r="129" spans="3:6" ht="15.75" customHeight="1" x14ac:dyDescent="0.3">
      <c r="C129" s="121"/>
      <c r="E129" s="121"/>
      <c r="F129" s="121"/>
    </row>
    <row r="130" spans="3:6" ht="15.75" customHeight="1" x14ac:dyDescent="0.3">
      <c r="C130" s="121"/>
      <c r="E130" s="121"/>
      <c r="F130" s="121"/>
    </row>
    <row r="131" spans="3:6" ht="15.75" customHeight="1" x14ac:dyDescent="0.3">
      <c r="C131" s="121"/>
      <c r="E131" s="121"/>
      <c r="F131" s="121"/>
    </row>
    <row r="132" spans="3:6" ht="15.75" customHeight="1" x14ac:dyDescent="0.3">
      <c r="C132" s="121"/>
      <c r="E132" s="121"/>
      <c r="F132" s="121"/>
    </row>
    <row r="133" spans="3:6" ht="15.75" customHeight="1" x14ac:dyDescent="0.3">
      <c r="C133" s="121"/>
      <c r="E133" s="121"/>
      <c r="F133" s="121"/>
    </row>
    <row r="134" spans="3:6" ht="15.75" customHeight="1" x14ac:dyDescent="0.3">
      <c r="C134" s="121"/>
      <c r="E134" s="121"/>
      <c r="F134" s="121"/>
    </row>
    <row r="135" spans="3:6" ht="15.75" customHeight="1" x14ac:dyDescent="0.3">
      <c r="C135" s="121"/>
      <c r="E135" s="121"/>
      <c r="F135" s="121"/>
    </row>
    <row r="136" spans="3:6" ht="15.75" customHeight="1" x14ac:dyDescent="0.3">
      <c r="C136" s="121"/>
      <c r="E136" s="121"/>
      <c r="F136" s="121"/>
    </row>
    <row r="137" spans="3:6" ht="15.75" customHeight="1" x14ac:dyDescent="0.3">
      <c r="C137" s="121"/>
      <c r="E137" s="121"/>
      <c r="F137" s="121"/>
    </row>
    <row r="138" spans="3:6" ht="15.75" customHeight="1" x14ac:dyDescent="0.3">
      <c r="C138" s="121"/>
      <c r="E138" s="121"/>
      <c r="F138" s="121"/>
    </row>
    <row r="139" spans="3:6" ht="15.75" customHeight="1" x14ac:dyDescent="0.3">
      <c r="C139" s="121"/>
      <c r="E139" s="121"/>
      <c r="F139" s="121"/>
    </row>
    <row r="140" spans="3:6" ht="15.75" customHeight="1" x14ac:dyDescent="0.3">
      <c r="C140" s="121"/>
      <c r="E140" s="121"/>
      <c r="F140" s="121"/>
    </row>
    <row r="141" spans="3:6" ht="15.75" customHeight="1" x14ac:dyDescent="0.3">
      <c r="C141" s="121"/>
      <c r="E141" s="121"/>
      <c r="F141" s="121"/>
    </row>
    <row r="142" spans="3:6" ht="15.75" customHeight="1" x14ac:dyDescent="0.3">
      <c r="C142" s="121"/>
      <c r="E142" s="121"/>
      <c r="F142" s="121"/>
    </row>
    <row r="143" spans="3:6" ht="15.75" customHeight="1" x14ac:dyDescent="0.3">
      <c r="C143" s="121"/>
      <c r="E143" s="121"/>
      <c r="F143" s="121"/>
    </row>
    <row r="144" spans="3:6" ht="15.75" customHeight="1" x14ac:dyDescent="0.3">
      <c r="C144" s="121"/>
      <c r="E144" s="121"/>
      <c r="F144" s="121"/>
    </row>
    <row r="145" spans="3:6" ht="15.75" customHeight="1" x14ac:dyDescent="0.3">
      <c r="C145" s="121"/>
      <c r="E145" s="121"/>
      <c r="F145" s="121"/>
    </row>
    <row r="146" spans="3:6" ht="15.75" customHeight="1" x14ac:dyDescent="0.3">
      <c r="C146" s="121"/>
      <c r="E146" s="121"/>
      <c r="F146" s="121"/>
    </row>
    <row r="147" spans="3:6" ht="15.75" customHeight="1" x14ac:dyDescent="0.3">
      <c r="C147" s="121"/>
      <c r="E147" s="121"/>
      <c r="F147" s="121"/>
    </row>
    <row r="148" spans="3:6" ht="15.75" customHeight="1" x14ac:dyDescent="0.3">
      <c r="C148" s="121"/>
      <c r="E148" s="121"/>
      <c r="F148" s="121"/>
    </row>
    <row r="149" spans="3:6" ht="15.75" customHeight="1" x14ac:dyDescent="0.3">
      <c r="C149" s="121"/>
      <c r="E149" s="121"/>
      <c r="F149" s="121"/>
    </row>
    <row r="150" spans="3:6" ht="15.75" customHeight="1" x14ac:dyDescent="0.3">
      <c r="C150" s="121"/>
      <c r="E150" s="121"/>
      <c r="F150" s="121"/>
    </row>
    <row r="151" spans="3:6" ht="15.75" customHeight="1" x14ac:dyDescent="0.3">
      <c r="C151" s="121"/>
      <c r="E151" s="121"/>
      <c r="F151" s="121"/>
    </row>
    <row r="152" spans="3:6" ht="15.75" customHeight="1" x14ac:dyDescent="0.3">
      <c r="C152" s="121"/>
      <c r="E152" s="121"/>
      <c r="F152" s="121"/>
    </row>
    <row r="153" spans="3:6" ht="15.75" customHeight="1" x14ac:dyDescent="0.3">
      <c r="C153" s="121"/>
      <c r="E153" s="121"/>
      <c r="F153" s="121"/>
    </row>
    <row r="154" spans="3:6" ht="15.75" customHeight="1" x14ac:dyDescent="0.3">
      <c r="C154" s="121"/>
      <c r="E154" s="121"/>
      <c r="F154" s="121"/>
    </row>
    <row r="155" spans="3:6" ht="15.75" customHeight="1" x14ac:dyDescent="0.3">
      <c r="C155" s="121"/>
      <c r="E155" s="121"/>
      <c r="F155" s="121"/>
    </row>
    <row r="156" spans="3:6" ht="15.75" customHeight="1" x14ac:dyDescent="0.3">
      <c r="C156" s="121"/>
      <c r="E156" s="121"/>
      <c r="F156" s="121"/>
    </row>
    <row r="157" spans="3:6" ht="15.75" customHeight="1" x14ac:dyDescent="0.3">
      <c r="C157" s="121"/>
      <c r="E157" s="121"/>
      <c r="F157" s="121"/>
    </row>
    <row r="158" spans="3:6" ht="15.75" customHeight="1" x14ac:dyDescent="0.3">
      <c r="C158" s="121"/>
      <c r="E158" s="121"/>
      <c r="F158" s="121"/>
    </row>
    <row r="159" spans="3:6" ht="15.75" customHeight="1" x14ac:dyDescent="0.3">
      <c r="C159" s="121"/>
      <c r="E159" s="121"/>
      <c r="F159" s="121"/>
    </row>
    <row r="160" spans="3:6" ht="15.75" customHeight="1" x14ac:dyDescent="0.3">
      <c r="C160" s="121"/>
      <c r="E160" s="121"/>
      <c r="F160" s="121"/>
    </row>
    <row r="161" spans="3:6" ht="15.75" customHeight="1" x14ac:dyDescent="0.3">
      <c r="C161" s="121"/>
      <c r="E161" s="121"/>
      <c r="F161" s="121"/>
    </row>
    <row r="162" spans="3:6" ht="15.75" customHeight="1" x14ac:dyDescent="0.3">
      <c r="C162" s="121"/>
      <c r="E162" s="121"/>
      <c r="F162" s="121"/>
    </row>
    <row r="163" spans="3:6" ht="15.75" customHeight="1" x14ac:dyDescent="0.3">
      <c r="C163" s="121"/>
      <c r="E163" s="121"/>
      <c r="F163" s="121"/>
    </row>
    <row r="164" spans="3:6" ht="15.75" customHeight="1" x14ac:dyDescent="0.3">
      <c r="C164" s="121"/>
      <c r="E164" s="121"/>
      <c r="F164" s="121"/>
    </row>
    <row r="165" spans="3:6" ht="15.75" customHeight="1" x14ac:dyDescent="0.3">
      <c r="C165" s="121"/>
      <c r="E165" s="121"/>
      <c r="F165" s="121"/>
    </row>
    <row r="166" spans="3:6" ht="15.75" customHeight="1" x14ac:dyDescent="0.3">
      <c r="C166" s="121"/>
      <c r="E166" s="121"/>
      <c r="F166" s="121"/>
    </row>
    <row r="167" spans="3:6" ht="15.75" customHeight="1" x14ac:dyDescent="0.3">
      <c r="C167" s="121"/>
      <c r="E167" s="121"/>
      <c r="F167" s="121"/>
    </row>
    <row r="168" spans="3:6" ht="15.75" customHeight="1" x14ac:dyDescent="0.3">
      <c r="C168" s="121"/>
      <c r="E168" s="121"/>
      <c r="F168" s="121"/>
    </row>
    <row r="169" spans="3:6" ht="15.75" customHeight="1" x14ac:dyDescent="0.3">
      <c r="C169" s="121"/>
      <c r="E169" s="121"/>
      <c r="F169" s="121"/>
    </row>
    <row r="170" spans="3:6" ht="15.75" customHeight="1" x14ac:dyDescent="0.3">
      <c r="C170" s="121"/>
      <c r="E170" s="121"/>
      <c r="F170" s="121"/>
    </row>
    <row r="171" spans="3:6" ht="15.75" customHeight="1" x14ac:dyDescent="0.3">
      <c r="C171" s="121"/>
      <c r="E171" s="121"/>
      <c r="F171" s="121"/>
    </row>
    <row r="172" spans="3:6" ht="15.75" customHeight="1" x14ac:dyDescent="0.3">
      <c r="C172" s="121"/>
      <c r="E172" s="121"/>
      <c r="F172" s="121"/>
    </row>
    <row r="173" spans="3:6" ht="15.75" customHeight="1" x14ac:dyDescent="0.3">
      <c r="C173" s="121"/>
      <c r="E173" s="121"/>
      <c r="F173" s="121"/>
    </row>
    <row r="174" spans="3:6" ht="15.75" customHeight="1" x14ac:dyDescent="0.3">
      <c r="C174" s="121"/>
      <c r="E174" s="121"/>
      <c r="F174" s="121"/>
    </row>
    <row r="175" spans="3:6" ht="15.75" customHeight="1" x14ac:dyDescent="0.3">
      <c r="C175" s="121"/>
      <c r="E175" s="121"/>
      <c r="F175" s="121"/>
    </row>
    <row r="176" spans="3:6" ht="15.75" customHeight="1" x14ac:dyDescent="0.3">
      <c r="C176" s="121"/>
      <c r="E176" s="121"/>
      <c r="F176" s="121"/>
    </row>
    <row r="177" spans="3:6" ht="15.75" customHeight="1" x14ac:dyDescent="0.3">
      <c r="C177" s="121"/>
      <c r="E177" s="121"/>
      <c r="F177" s="121"/>
    </row>
    <row r="178" spans="3:6" ht="15.75" customHeight="1" x14ac:dyDescent="0.3">
      <c r="C178" s="121"/>
      <c r="E178" s="121"/>
      <c r="F178" s="121"/>
    </row>
    <row r="179" spans="3:6" ht="15.75" customHeight="1" x14ac:dyDescent="0.3">
      <c r="C179" s="121"/>
      <c r="E179" s="121"/>
      <c r="F179" s="121"/>
    </row>
    <row r="180" spans="3:6" ht="15.75" customHeight="1" x14ac:dyDescent="0.3">
      <c r="C180" s="121"/>
      <c r="E180" s="121"/>
      <c r="F180" s="121"/>
    </row>
    <row r="181" spans="3:6" ht="15.75" customHeight="1" x14ac:dyDescent="0.3">
      <c r="C181" s="121"/>
      <c r="E181" s="121"/>
      <c r="F181" s="121"/>
    </row>
    <row r="182" spans="3:6" ht="15.75" customHeight="1" x14ac:dyDescent="0.3">
      <c r="C182" s="121"/>
      <c r="E182" s="121"/>
      <c r="F182" s="121"/>
    </row>
    <row r="183" spans="3:6" ht="15.75" customHeight="1" x14ac:dyDescent="0.3">
      <c r="C183" s="121"/>
      <c r="E183" s="121"/>
      <c r="F183" s="121"/>
    </row>
    <row r="184" spans="3:6" ht="15.75" customHeight="1" x14ac:dyDescent="0.3">
      <c r="C184" s="121"/>
      <c r="E184" s="121"/>
      <c r="F184" s="121"/>
    </row>
    <row r="185" spans="3:6" ht="15.75" customHeight="1" x14ac:dyDescent="0.3">
      <c r="C185" s="121"/>
      <c r="E185" s="121"/>
      <c r="F185" s="121"/>
    </row>
    <row r="186" spans="3:6" ht="15.75" customHeight="1" x14ac:dyDescent="0.3">
      <c r="C186" s="121"/>
      <c r="E186" s="121"/>
      <c r="F186" s="121"/>
    </row>
    <row r="187" spans="3:6" ht="15.75" customHeight="1" x14ac:dyDescent="0.3">
      <c r="C187" s="121"/>
      <c r="E187" s="121"/>
      <c r="F187" s="121"/>
    </row>
    <row r="188" spans="3:6" ht="15.75" customHeight="1" x14ac:dyDescent="0.3">
      <c r="C188" s="121"/>
      <c r="E188" s="121"/>
      <c r="F188" s="121"/>
    </row>
    <row r="189" spans="3:6" ht="15.75" customHeight="1" x14ac:dyDescent="0.3">
      <c r="C189" s="121"/>
      <c r="E189" s="121"/>
      <c r="F189" s="121"/>
    </row>
    <row r="190" spans="3:6" ht="15.75" customHeight="1" x14ac:dyDescent="0.3">
      <c r="C190" s="121"/>
      <c r="E190" s="121"/>
      <c r="F190" s="121"/>
    </row>
    <row r="191" spans="3:6" ht="15.75" customHeight="1" x14ac:dyDescent="0.3">
      <c r="C191" s="121"/>
      <c r="E191" s="121"/>
      <c r="F191" s="121"/>
    </row>
    <row r="192" spans="3:6" ht="15.75" customHeight="1" x14ac:dyDescent="0.3">
      <c r="C192" s="121"/>
      <c r="E192" s="121"/>
      <c r="F192" s="121"/>
    </row>
    <row r="193" spans="3:6" ht="15.75" customHeight="1" x14ac:dyDescent="0.3">
      <c r="C193" s="121"/>
      <c r="E193" s="121"/>
      <c r="F193" s="121"/>
    </row>
    <row r="194" spans="3:6" ht="15.75" customHeight="1" x14ac:dyDescent="0.3">
      <c r="C194" s="121"/>
      <c r="E194" s="121"/>
      <c r="F194" s="121"/>
    </row>
    <row r="195" spans="3:6" ht="15.75" customHeight="1" x14ac:dyDescent="0.3">
      <c r="C195" s="121"/>
      <c r="E195" s="121"/>
      <c r="F195" s="121"/>
    </row>
    <row r="196" spans="3:6" ht="15.75" customHeight="1" x14ac:dyDescent="0.3">
      <c r="C196" s="121"/>
      <c r="E196" s="121"/>
      <c r="F196" s="121"/>
    </row>
    <row r="197" spans="3:6" ht="15.75" customHeight="1" x14ac:dyDescent="0.3">
      <c r="C197" s="121"/>
      <c r="E197" s="121"/>
      <c r="F197" s="121"/>
    </row>
    <row r="198" spans="3:6" ht="15.75" customHeight="1" x14ac:dyDescent="0.3">
      <c r="C198" s="121"/>
      <c r="E198" s="121"/>
      <c r="F198" s="121"/>
    </row>
    <row r="199" spans="3:6" ht="15.75" customHeight="1" x14ac:dyDescent="0.3">
      <c r="C199" s="121"/>
      <c r="E199" s="121"/>
      <c r="F199" s="121"/>
    </row>
    <row r="200" spans="3:6" ht="15.75" customHeight="1" x14ac:dyDescent="0.3">
      <c r="C200" s="121"/>
      <c r="E200" s="121"/>
      <c r="F200" s="121"/>
    </row>
    <row r="201" spans="3:6" ht="15.75" customHeight="1" x14ac:dyDescent="0.3">
      <c r="C201" s="121"/>
      <c r="E201" s="121"/>
      <c r="F201" s="121"/>
    </row>
    <row r="202" spans="3:6" ht="15.75" customHeight="1" x14ac:dyDescent="0.3">
      <c r="C202" s="121"/>
      <c r="E202" s="121"/>
      <c r="F202" s="121"/>
    </row>
    <row r="203" spans="3:6" ht="15.75" customHeight="1" x14ac:dyDescent="0.3">
      <c r="C203" s="121"/>
      <c r="E203" s="121"/>
      <c r="F203" s="121"/>
    </row>
    <row r="204" spans="3:6" ht="15.75" customHeight="1" x14ac:dyDescent="0.3">
      <c r="C204" s="121"/>
      <c r="E204" s="121"/>
      <c r="F204" s="121"/>
    </row>
    <row r="205" spans="3:6" ht="15.75" customHeight="1" x14ac:dyDescent="0.3">
      <c r="C205" s="121"/>
      <c r="E205" s="121"/>
      <c r="F205" s="121"/>
    </row>
    <row r="206" spans="3:6" ht="15.75" customHeight="1" x14ac:dyDescent="0.3">
      <c r="C206" s="121"/>
      <c r="E206" s="121"/>
      <c r="F206" s="121"/>
    </row>
    <row r="207" spans="3:6" ht="15.75" customHeight="1" x14ac:dyDescent="0.3">
      <c r="C207" s="121"/>
      <c r="E207" s="121"/>
      <c r="F207" s="121"/>
    </row>
    <row r="208" spans="3:6" ht="15.75" customHeight="1" x14ac:dyDescent="0.3">
      <c r="C208" s="121"/>
      <c r="E208" s="121"/>
      <c r="F208" s="121"/>
    </row>
    <row r="209" spans="3:6" ht="15.75" customHeight="1" x14ac:dyDescent="0.3">
      <c r="C209" s="121"/>
      <c r="E209" s="121"/>
      <c r="F209" s="121"/>
    </row>
    <row r="210" spans="3:6" ht="15.75" customHeight="1" x14ac:dyDescent="0.3">
      <c r="C210" s="121"/>
      <c r="E210" s="121"/>
      <c r="F210" s="121"/>
    </row>
    <row r="211" spans="3:6" ht="15.75" customHeight="1" x14ac:dyDescent="0.3">
      <c r="C211" s="121"/>
      <c r="E211" s="121"/>
      <c r="F211" s="121"/>
    </row>
    <row r="212" spans="3:6" ht="15.75" customHeight="1" x14ac:dyDescent="0.3">
      <c r="C212" s="121"/>
      <c r="E212" s="121"/>
      <c r="F212" s="121"/>
    </row>
    <row r="213" spans="3:6" ht="15.75" customHeight="1" x14ac:dyDescent="0.3">
      <c r="C213" s="121"/>
      <c r="E213" s="121"/>
      <c r="F213" s="121"/>
    </row>
    <row r="214" spans="3:6" ht="15.75" customHeight="1" x14ac:dyDescent="0.3">
      <c r="C214" s="121"/>
      <c r="E214" s="121"/>
      <c r="F214" s="121"/>
    </row>
    <row r="215" spans="3:6" ht="15.75" customHeight="1" x14ac:dyDescent="0.3">
      <c r="C215" s="121"/>
      <c r="E215" s="121"/>
      <c r="F215" s="121"/>
    </row>
    <row r="216" spans="3:6" ht="15.75" customHeight="1" x14ac:dyDescent="0.3">
      <c r="C216" s="121"/>
      <c r="E216" s="121"/>
      <c r="F216" s="121"/>
    </row>
    <row r="217" spans="3:6" ht="15.75" customHeight="1" x14ac:dyDescent="0.3">
      <c r="C217" s="121"/>
      <c r="E217" s="121"/>
      <c r="F217" s="121"/>
    </row>
    <row r="218" spans="3:6" ht="15.75" customHeight="1" x14ac:dyDescent="0.3">
      <c r="C218" s="121"/>
      <c r="E218" s="121"/>
      <c r="F218" s="121"/>
    </row>
    <row r="219" spans="3:6" ht="15.75" customHeight="1" x14ac:dyDescent="0.3">
      <c r="C219" s="121"/>
      <c r="E219" s="121"/>
      <c r="F219" s="121"/>
    </row>
    <row r="220" spans="3:6" ht="15.75" customHeight="1" x14ac:dyDescent="0.3">
      <c r="C220" s="121"/>
      <c r="E220" s="121"/>
      <c r="F220" s="121"/>
    </row>
    <row r="221" spans="3:6" ht="15.75" customHeight="1" x14ac:dyDescent="0.3">
      <c r="C221" s="121"/>
      <c r="E221" s="121"/>
      <c r="F221" s="121"/>
    </row>
    <row r="222" spans="3:6" ht="15.75" customHeight="1" x14ac:dyDescent="0.3">
      <c r="C222" s="121"/>
      <c r="E222" s="121"/>
      <c r="F222" s="121"/>
    </row>
    <row r="223" spans="3:6" ht="15.75" customHeight="1" x14ac:dyDescent="0.3">
      <c r="C223" s="121"/>
      <c r="E223" s="121"/>
      <c r="F223" s="121"/>
    </row>
    <row r="224" spans="3:6" ht="15.75" customHeight="1" x14ac:dyDescent="0.3">
      <c r="C224" s="121"/>
      <c r="E224" s="121"/>
      <c r="F224" s="121"/>
    </row>
    <row r="225" spans="3:6" ht="15.75" customHeight="1" x14ac:dyDescent="0.3">
      <c r="C225" s="121"/>
      <c r="E225" s="121"/>
      <c r="F225" s="121"/>
    </row>
    <row r="226" spans="3:6" ht="15.75" customHeight="1" x14ac:dyDescent="0.3">
      <c r="C226" s="121"/>
      <c r="E226" s="121"/>
      <c r="F226" s="121"/>
    </row>
    <row r="227" spans="3:6" ht="15.75" customHeight="1" x14ac:dyDescent="0.3">
      <c r="C227" s="121"/>
      <c r="E227" s="121"/>
      <c r="F227" s="121"/>
    </row>
    <row r="228" spans="3:6" ht="15.75" customHeight="1" x14ac:dyDescent="0.3">
      <c r="C228" s="121"/>
      <c r="E228" s="121"/>
      <c r="F228" s="121"/>
    </row>
    <row r="229" spans="3:6" ht="15.75" customHeight="1" x14ac:dyDescent="0.3">
      <c r="C229" s="121"/>
      <c r="E229" s="121"/>
      <c r="F229" s="121"/>
    </row>
    <row r="230" spans="3:6" ht="15.75" customHeight="1" x14ac:dyDescent="0.3">
      <c r="C230" s="121"/>
      <c r="E230" s="121"/>
      <c r="F230" s="121"/>
    </row>
    <row r="231" spans="3:6" ht="15.75" customHeight="1" x14ac:dyDescent="0.3">
      <c r="C231" s="121"/>
      <c r="E231" s="121"/>
      <c r="F231" s="121"/>
    </row>
    <row r="232" spans="3:6" ht="15.75" customHeight="1" x14ac:dyDescent="0.3">
      <c r="C232" s="121"/>
      <c r="E232" s="121"/>
      <c r="F232" s="121"/>
    </row>
    <row r="233" spans="3:6" ht="15.75" customHeight="1" x14ac:dyDescent="0.3">
      <c r="C233" s="121"/>
      <c r="E233" s="121"/>
      <c r="F233" s="121"/>
    </row>
    <row r="234" spans="3:6" ht="15.75" customHeight="1" x14ac:dyDescent="0.3">
      <c r="C234" s="121"/>
      <c r="E234" s="121"/>
      <c r="F234" s="121"/>
    </row>
    <row r="235" spans="3:6" ht="15.75" customHeight="1" x14ac:dyDescent="0.3">
      <c r="C235" s="121"/>
      <c r="E235" s="121"/>
      <c r="F235" s="121"/>
    </row>
    <row r="236" spans="3:6" ht="15.75" customHeight="1" x14ac:dyDescent="0.3">
      <c r="C236" s="121"/>
      <c r="E236" s="121"/>
      <c r="F236" s="121"/>
    </row>
    <row r="237" spans="3:6" ht="15.75" customHeight="1" x14ac:dyDescent="0.3">
      <c r="C237" s="121"/>
      <c r="E237" s="121"/>
      <c r="F237" s="121"/>
    </row>
    <row r="238" spans="3:6" ht="15.75" customHeight="1" x14ac:dyDescent="0.3">
      <c r="C238" s="121"/>
      <c r="E238" s="121"/>
      <c r="F238" s="121"/>
    </row>
    <row r="239" spans="3:6" ht="15.75" customHeight="1" x14ac:dyDescent="0.3">
      <c r="C239" s="121"/>
      <c r="E239" s="121"/>
      <c r="F239" s="121"/>
    </row>
    <row r="240" spans="3:6" ht="15.75" customHeight="1" x14ac:dyDescent="0.3">
      <c r="C240" s="121"/>
      <c r="E240" s="121"/>
      <c r="F240" s="121"/>
    </row>
    <row r="241" spans="3:6" ht="15.75" customHeight="1" x14ac:dyDescent="0.3">
      <c r="C241" s="121"/>
      <c r="E241" s="121"/>
      <c r="F241" s="121"/>
    </row>
    <row r="242" spans="3:6" ht="15.75" customHeight="1" x14ac:dyDescent="0.3">
      <c r="C242" s="121"/>
      <c r="E242" s="121"/>
      <c r="F242" s="121"/>
    </row>
    <row r="243" spans="3:6" ht="15.75" customHeight="1" x14ac:dyDescent="0.3">
      <c r="C243" s="121"/>
      <c r="E243" s="121"/>
      <c r="F243" s="121"/>
    </row>
    <row r="244" spans="3:6" ht="15.75" customHeight="1" x14ac:dyDescent="0.3">
      <c r="C244" s="121"/>
      <c r="E244" s="121"/>
      <c r="F244" s="121"/>
    </row>
    <row r="245" spans="3:6" ht="15.75" customHeight="1" x14ac:dyDescent="0.3">
      <c r="C245" s="121"/>
      <c r="E245" s="121"/>
      <c r="F245" s="121"/>
    </row>
    <row r="246" spans="3:6" ht="15.75" customHeight="1" x14ac:dyDescent="0.3">
      <c r="C246" s="121"/>
      <c r="E246" s="121"/>
      <c r="F246" s="121"/>
    </row>
    <row r="247" spans="3:6" ht="15.75" customHeight="1" x14ac:dyDescent="0.3">
      <c r="C247" s="121"/>
      <c r="E247" s="121"/>
      <c r="F247" s="121"/>
    </row>
    <row r="248" spans="3:6" ht="15.75" customHeight="1" x14ac:dyDescent="0.3">
      <c r="C248" s="121"/>
      <c r="E248" s="121"/>
      <c r="F248" s="121"/>
    </row>
    <row r="249" spans="3:6" ht="15.75" customHeight="1" x14ac:dyDescent="0.3">
      <c r="C249" s="121"/>
      <c r="E249" s="121"/>
      <c r="F249" s="121"/>
    </row>
    <row r="250" spans="3:6" ht="15.75" customHeight="1" x14ac:dyDescent="0.3">
      <c r="C250" s="121"/>
      <c r="E250" s="121"/>
      <c r="F250" s="121"/>
    </row>
    <row r="251" spans="3:6" ht="15.75" customHeight="1" x14ac:dyDescent="0.3">
      <c r="C251" s="121"/>
      <c r="E251" s="121"/>
      <c r="F251" s="121"/>
    </row>
    <row r="252" spans="3:6" ht="15.75" customHeight="1" x14ac:dyDescent="0.3">
      <c r="C252" s="121"/>
      <c r="E252" s="121"/>
      <c r="F252" s="121"/>
    </row>
    <row r="253" spans="3:6" ht="15.75" customHeight="1" x14ac:dyDescent="0.3">
      <c r="C253" s="121"/>
      <c r="E253" s="121"/>
      <c r="F253" s="121"/>
    </row>
    <row r="254" spans="3:6" ht="15.75" customHeight="1" x14ac:dyDescent="0.3">
      <c r="C254" s="121"/>
      <c r="E254" s="121"/>
      <c r="F254" s="121"/>
    </row>
    <row r="255" spans="3:6" ht="15.75" customHeight="1" x14ac:dyDescent="0.3">
      <c r="C255" s="121"/>
      <c r="E255" s="121"/>
      <c r="F255" s="121"/>
    </row>
    <row r="256" spans="3:6" ht="15.75" customHeight="1" x14ac:dyDescent="0.3">
      <c r="C256" s="121"/>
      <c r="E256" s="121"/>
      <c r="F256" s="121"/>
    </row>
    <row r="257" spans="3:6" ht="15.75" customHeight="1" x14ac:dyDescent="0.3">
      <c r="C257" s="121"/>
      <c r="E257" s="121"/>
      <c r="F257" s="121"/>
    </row>
    <row r="258" spans="3:6" ht="15.75" customHeight="1" x14ac:dyDescent="0.3">
      <c r="C258" s="121"/>
      <c r="E258" s="121"/>
      <c r="F258" s="121"/>
    </row>
    <row r="259" spans="3:6" ht="15.75" customHeight="1" x14ac:dyDescent="0.3">
      <c r="C259" s="121"/>
      <c r="E259" s="121"/>
      <c r="F259" s="121"/>
    </row>
    <row r="260" spans="3:6" ht="15.75" customHeight="1" x14ac:dyDescent="0.3">
      <c r="C260" s="121"/>
      <c r="E260" s="121"/>
      <c r="F260" s="121"/>
    </row>
    <row r="261" spans="3:6" ht="15.75" customHeight="1" x14ac:dyDescent="0.3">
      <c r="C261" s="121"/>
      <c r="E261" s="121"/>
      <c r="F261" s="121"/>
    </row>
    <row r="262" spans="3:6" ht="15.75" customHeight="1" x14ac:dyDescent="0.3">
      <c r="C262" s="121"/>
      <c r="E262" s="121"/>
      <c r="F262" s="121"/>
    </row>
    <row r="263" spans="3:6" ht="15.75" customHeight="1" x14ac:dyDescent="0.3">
      <c r="C263" s="121"/>
      <c r="E263" s="121"/>
      <c r="F263" s="121"/>
    </row>
    <row r="264" spans="3:6" ht="15.75" customHeight="1" x14ac:dyDescent="0.3">
      <c r="C264" s="121"/>
      <c r="E264" s="121"/>
      <c r="F264" s="121"/>
    </row>
    <row r="265" spans="3:6" ht="15.75" customHeight="1" x14ac:dyDescent="0.3">
      <c r="C265" s="121"/>
      <c r="E265" s="121"/>
      <c r="F265" s="121"/>
    </row>
    <row r="266" spans="3:6" ht="15.75" customHeight="1" x14ac:dyDescent="0.3">
      <c r="C266" s="121"/>
      <c r="E266" s="121"/>
      <c r="F266" s="121"/>
    </row>
    <row r="267" spans="3:6" ht="15.75" customHeight="1" x14ac:dyDescent="0.3">
      <c r="C267" s="121"/>
      <c r="E267" s="121"/>
      <c r="F267" s="121"/>
    </row>
    <row r="268" spans="3:6" ht="15.75" customHeight="1" x14ac:dyDescent="0.3">
      <c r="C268" s="121"/>
      <c r="E268" s="121"/>
      <c r="F268" s="121"/>
    </row>
    <row r="269" spans="3:6" ht="15.75" customHeight="1" x14ac:dyDescent="0.3">
      <c r="C269" s="121"/>
      <c r="E269" s="121"/>
      <c r="F269" s="121"/>
    </row>
    <row r="270" spans="3:6" ht="15.75" customHeight="1" x14ac:dyDescent="0.3">
      <c r="C270" s="121"/>
      <c r="E270" s="121"/>
      <c r="F270" s="121"/>
    </row>
    <row r="271" spans="3:6" ht="15.75" customHeight="1" x14ac:dyDescent="0.3">
      <c r="C271" s="121"/>
      <c r="E271" s="121"/>
      <c r="F271" s="121"/>
    </row>
    <row r="272" spans="3:6" ht="15.75" customHeight="1" x14ac:dyDescent="0.3">
      <c r="C272" s="121"/>
      <c r="E272" s="121"/>
      <c r="F272" s="121"/>
    </row>
    <row r="273" spans="3:6" ht="15.75" customHeight="1" x14ac:dyDescent="0.3">
      <c r="C273" s="121"/>
      <c r="E273" s="121"/>
      <c r="F273" s="121"/>
    </row>
    <row r="274" spans="3:6" ht="15.75" customHeight="1" x14ac:dyDescent="0.3">
      <c r="C274" s="121"/>
      <c r="E274" s="121"/>
      <c r="F274" s="121"/>
    </row>
    <row r="275" spans="3:6" ht="15.75" customHeight="1" x14ac:dyDescent="0.3">
      <c r="C275" s="121"/>
      <c r="E275" s="121"/>
      <c r="F275" s="121"/>
    </row>
    <row r="276" spans="3:6" ht="15.75" customHeight="1" x14ac:dyDescent="0.3">
      <c r="C276" s="121"/>
      <c r="E276" s="121"/>
      <c r="F276" s="121"/>
    </row>
    <row r="277" spans="3:6" ht="15.75" customHeight="1" x14ac:dyDescent="0.3">
      <c r="C277" s="121"/>
      <c r="E277" s="121"/>
      <c r="F277" s="121"/>
    </row>
    <row r="278" spans="3:6" ht="15.75" customHeight="1" x14ac:dyDescent="0.3">
      <c r="C278" s="121"/>
      <c r="E278" s="121"/>
      <c r="F278" s="121"/>
    </row>
    <row r="279" spans="3:6" ht="15.75" customHeight="1" x14ac:dyDescent="0.3">
      <c r="C279" s="121"/>
      <c r="E279" s="121"/>
      <c r="F279" s="121"/>
    </row>
    <row r="280" spans="3:6" ht="15.75" customHeight="1" x14ac:dyDescent="0.3">
      <c r="C280" s="121"/>
      <c r="E280" s="121"/>
      <c r="F280" s="121"/>
    </row>
    <row r="281" spans="3:6" ht="15.75" customHeight="1" x14ac:dyDescent="0.3">
      <c r="C281" s="121"/>
      <c r="E281" s="121"/>
      <c r="F281" s="121"/>
    </row>
    <row r="282" spans="3:6" ht="15.75" customHeight="1" x14ac:dyDescent="0.3">
      <c r="C282" s="121"/>
      <c r="E282" s="121"/>
      <c r="F282" s="121"/>
    </row>
    <row r="283" spans="3:6" ht="15.75" customHeight="1" x14ac:dyDescent="0.3">
      <c r="C283" s="121"/>
      <c r="E283" s="121"/>
      <c r="F283" s="121"/>
    </row>
    <row r="284" spans="3:6" ht="15.75" customHeight="1" x14ac:dyDescent="0.3">
      <c r="C284" s="121"/>
      <c r="E284" s="121"/>
      <c r="F284" s="121"/>
    </row>
    <row r="285" spans="3:6" ht="15.75" customHeight="1" x14ac:dyDescent="0.3">
      <c r="C285" s="121"/>
      <c r="E285" s="121"/>
      <c r="F285" s="121"/>
    </row>
    <row r="286" spans="3:6" ht="15.75" customHeight="1" x14ac:dyDescent="0.3">
      <c r="C286" s="121"/>
      <c r="E286" s="121"/>
      <c r="F286" s="121"/>
    </row>
    <row r="287" spans="3:6" ht="15.75" customHeight="1" x14ac:dyDescent="0.3">
      <c r="C287" s="121"/>
      <c r="E287" s="121"/>
      <c r="F287" s="121"/>
    </row>
    <row r="288" spans="3:6" ht="15.75" customHeight="1" x14ac:dyDescent="0.3">
      <c r="C288" s="121"/>
      <c r="E288" s="121"/>
      <c r="F288" s="121"/>
    </row>
    <row r="289" spans="3:6" ht="15.75" customHeight="1" x14ac:dyDescent="0.3">
      <c r="C289" s="121"/>
      <c r="E289" s="121"/>
      <c r="F289" s="121"/>
    </row>
    <row r="290" spans="3:6" ht="15.75" customHeight="1" x14ac:dyDescent="0.3">
      <c r="C290" s="121"/>
      <c r="E290" s="121"/>
      <c r="F290" s="121"/>
    </row>
    <row r="291" spans="3:6" ht="15.75" customHeight="1" x14ac:dyDescent="0.3">
      <c r="C291" s="121"/>
      <c r="E291" s="121"/>
      <c r="F291" s="121"/>
    </row>
    <row r="292" spans="3:6" ht="15.75" customHeight="1" x14ac:dyDescent="0.3">
      <c r="C292" s="121"/>
      <c r="E292" s="121"/>
      <c r="F292" s="121"/>
    </row>
    <row r="293" spans="3:6" ht="15.75" customHeight="1" x14ac:dyDescent="0.3">
      <c r="C293" s="121"/>
      <c r="E293" s="121"/>
      <c r="F293" s="121"/>
    </row>
    <row r="294" spans="3:6" ht="15.75" customHeight="1" x14ac:dyDescent="0.3">
      <c r="C294" s="121"/>
      <c r="E294" s="121"/>
      <c r="F294" s="121"/>
    </row>
    <row r="295" spans="3:6" ht="15.75" customHeight="1" x14ac:dyDescent="0.3">
      <c r="C295" s="121"/>
      <c r="E295" s="121"/>
      <c r="F295" s="121"/>
    </row>
    <row r="296" spans="3:6" ht="15.75" customHeight="1" x14ac:dyDescent="0.3">
      <c r="C296" s="121"/>
      <c r="E296" s="121"/>
      <c r="F296" s="121"/>
    </row>
    <row r="297" spans="3:6" ht="15.75" customHeight="1" x14ac:dyDescent="0.3">
      <c r="C297" s="121"/>
      <c r="E297" s="121"/>
      <c r="F297" s="121"/>
    </row>
    <row r="298" spans="3:6" ht="15.75" customHeight="1" x14ac:dyDescent="0.3">
      <c r="C298" s="121"/>
      <c r="E298" s="121"/>
      <c r="F298" s="121"/>
    </row>
    <row r="299" spans="3:6" ht="15.75" customHeight="1" x14ac:dyDescent="0.3">
      <c r="C299" s="121"/>
      <c r="E299" s="121"/>
      <c r="F299" s="121"/>
    </row>
    <row r="300" spans="3:6" ht="15.75" customHeight="1" x14ac:dyDescent="0.3">
      <c r="C300" s="121"/>
      <c r="E300" s="121"/>
      <c r="F300" s="121"/>
    </row>
    <row r="301" spans="3:6" ht="15.75" customHeight="1" x14ac:dyDescent="0.3">
      <c r="C301" s="121"/>
      <c r="E301" s="121"/>
      <c r="F301" s="121"/>
    </row>
    <row r="302" spans="3:6" ht="15.75" customHeight="1" x14ac:dyDescent="0.3">
      <c r="C302" s="121"/>
      <c r="E302" s="121"/>
      <c r="F302" s="121"/>
    </row>
    <row r="303" spans="3:6" ht="15.75" customHeight="1" x14ac:dyDescent="0.3">
      <c r="C303" s="121"/>
      <c r="E303" s="121"/>
      <c r="F303" s="121"/>
    </row>
    <row r="304" spans="3:6" ht="15.75" customHeight="1" x14ac:dyDescent="0.3">
      <c r="C304" s="121"/>
      <c r="E304" s="121"/>
      <c r="F304" s="121"/>
    </row>
    <row r="305" spans="3:6" ht="15.75" customHeight="1" x14ac:dyDescent="0.3">
      <c r="C305" s="121"/>
      <c r="E305" s="121"/>
      <c r="F305" s="121"/>
    </row>
    <row r="306" spans="3:6" ht="15.75" customHeight="1" x14ac:dyDescent="0.3">
      <c r="C306" s="121"/>
      <c r="E306" s="121"/>
      <c r="F306" s="121"/>
    </row>
    <row r="307" spans="3:6" ht="15.75" customHeight="1" x14ac:dyDescent="0.3">
      <c r="C307" s="121"/>
      <c r="E307" s="121"/>
      <c r="F307" s="121"/>
    </row>
    <row r="308" spans="3:6" ht="15.75" customHeight="1" x14ac:dyDescent="0.3">
      <c r="C308" s="121"/>
      <c r="E308" s="121"/>
      <c r="F308" s="121"/>
    </row>
    <row r="309" spans="3:6" ht="15.75" customHeight="1" x14ac:dyDescent="0.3">
      <c r="C309" s="121"/>
      <c r="E309" s="121"/>
      <c r="F309" s="121"/>
    </row>
    <row r="310" spans="3:6" ht="15.75" customHeight="1" x14ac:dyDescent="0.3">
      <c r="C310" s="121"/>
      <c r="E310" s="121"/>
      <c r="F310" s="121"/>
    </row>
    <row r="311" spans="3:6" ht="15.75" customHeight="1" x14ac:dyDescent="0.3">
      <c r="C311" s="121"/>
      <c r="E311" s="121"/>
      <c r="F311" s="121"/>
    </row>
    <row r="312" spans="3:6" ht="15.75" customHeight="1" x14ac:dyDescent="0.3">
      <c r="C312" s="121"/>
      <c r="E312" s="121"/>
      <c r="F312" s="121"/>
    </row>
    <row r="313" spans="3:6" ht="15.75" customHeight="1" x14ac:dyDescent="0.3">
      <c r="C313" s="121"/>
      <c r="E313" s="121"/>
      <c r="F313" s="121"/>
    </row>
    <row r="314" spans="3:6" ht="15.75" customHeight="1" x14ac:dyDescent="0.3">
      <c r="C314" s="121"/>
      <c r="E314" s="121"/>
      <c r="F314" s="121"/>
    </row>
    <row r="315" spans="3:6" ht="15.75" customHeight="1" x14ac:dyDescent="0.3">
      <c r="C315" s="121"/>
      <c r="E315" s="121"/>
      <c r="F315" s="121"/>
    </row>
    <row r="316" spans="3:6" ht="15.75" customHeight="1" x14ac:dyDescent="0.3">
      <c r="C316" s="121"/>
      <c r="E316" s="121"/>
      <c r="F316" s="121"/>
    </row>
    <row r="317" spans="3:6" ht="15.75" customHeight="1" x14ac:dyDescent="0.3">
      <c r="C317" s="121"/>
      <c r="E317" s="121"/>
      <c r="F317" s="121"/>
    </row>
    <row r="318" spans="3:6" ht="15.75" customHeight="1" x14ac:dyDescent="0.3">
      <c r="C318" s="121"/>
      <c r="E318" s="121"/>
      <c r="F318" s="121"/>
    </row>
    <row r="319" spans="3:6" ht="15.75" customHeight="1" x14ac:dyDescent="0.3">
      <c r="C319" s="121"/>
      <c r="E319" s="121"/>
      <c r="F319" s="121"/>
    </row>
    <row r="320" spans="3:6" ht="15.75" customHeight="1" x14ac:dyDescent="0.3">
      <c r="C320" s="121"/>
      <c r="E320" s="121"/>
      <c r="F320" s="121"/>
    </row>
    <row r="321" spans="3:6" ht="15.75" customHeight="1" x14ac:dyDescent="0.3">
      <c r="C321" s="121"/>
      <c r="E321" s="121"/>
      <c r="F321" s="121"/>
    </row>
    <row r="322" spans="3:6" ht="15.75" customHeight="1" x14ac:dyDescent="0.3">
      <c r="C322" s="121"/>
      <c r="E322" s="121"/>
      <c r="F322" s="121"/>
    </row>
    <row r="323" spans="3:6" ht="15.75" customHeight="1" x14ac:dyDescent="0.3">
      <c r="C323" s="121"/>
      <c r="E323" s="121"/>
      <c r="F323" s="121"/>
    </row>
    <row r="324" spans="3:6" ht="15.75" customHeight="1" x14ac:dyDescent="0.3">
      <c r="C324" s="121"/>
      <c r="E324" s="121"/>
      <c r="F324" s="121"/>
    </row>
    <row r="325" spans="3:6" ht="15.75" customHeight="1" x14ac:dyDescent="0.3">
      <c r="C325" s="121"/>
      <c r="E325" s="121"/>
      <c r="F325" s="121"/>
    </row>
    <row r="326" spans="3:6" ht="15.75" customHeight="1" x14ac:dyDescent="0.3">
      <c r="C326" s="121"/>
      <c r="E326" s="121"/>
      <c r="F326" s="121"/>
    </row>
    <row r="327" spans="3:6" ht="15.75" customHeight="1" x14ac:dyDescent="0.3">
      <c r="C327" s="121"/>
      <c r="E327" s="121"/>
      <c r="F327" s="121"/>
    </row>
    <row r="328" spans="3:6" ht="15.75" customHeight="1" x14ac:dyDescent="0.3">
      <c r="C328" s="121"/>
      <c r="E328" s="121"/>
      <c r="F328" s="121"/>
    </row>
    <row r="329" spans="3:6" ht="15.75" customHeight="1" x14ac:dyDescent="0.3">
      <c r="C329" s="121"/>
      <c r="E329" s="121"/>
      <c r="F329" s="121"/>
    </row>
    <row r="330" spans="3:6" ht="15.75" customHeight="1" x14ac:dyDescent="0.3">
      <c r="C330" s="121"/>
      <c r="E330" s="121"/>
      <c r="F330" s="121"/>
    </row>
    <row r="331" spans="3:6" ht="15.75" customHeight="1" x14ac:dyDescent="0.3">
      <c r="C331" s="121"/>
      <c r="E331" s="121"/>
      <c r="F331" s="121"/>
    </row>
    <row r="332" spans="3:6" ht="15.75" customHeight="1" x14ac:dyDescent="0.3">
      <c r="C332" s="121"/>
      <c r="E332" s="121"/>
      <c r="F332" s="121"/>
    </row>
    <row r="333" spans="3:6" ht="15.75" customHeight="1" x14ac:dyDescent="0.3">
      <c r="C333" s="121"/>
      <c r="E333" s="121"/>
      <c r="F333" s="121"/>
    </row>
    <row r="334" spans="3:6" ht="15.75" customHeight="1" x14ac:dyDescent="0.3">
      <c r="C334" s="121"/>
      <c r="E334" s="121"/>
      <c r="F334" s="121"/>
    </row>
    <row r="335" spans="3:6" ht="15.75" customHeight="1" x14ac:dyDescent="0.3">
      <c r="C335" s="121"/>
      <c r="E335" s="121"/>
      <c r="F335" s="121"/>
    </row>
    <row r="336" spans="3:6" ht="15.75" customHeight="1" x14ac:dyDescent="0.3">
      <c r="C336" s="121"/>
      <c r="E336" s="121"/>
      <c r="F336" s="121"/>
    </row>
    <row r="337" spans="3:6" ht="15.75" customHeight="1" x14ac:dyDescent="0.3">
      <c r="C337" s="121"/>
      <c r="E337" s="121"/>
      <c r="F337" s="121"/>
    </row>
    <row r="338" spans="3:6" ht="15.75" customHeight="1" x14ac:dyDescent="0.3">
      <c r="C338" s="121"/>
      <c r="E338" s="121"/>
      <c r="F338" s="121"/>
    </row>
    <row r="339" spans="3:6" ht="15.75" customHeight="1" x14ac:dyDescent="0.3">
      <c r="C339" s="121"/>
      <c r="E339" s="121"/>
      <c r="F339" s="121"/>
    </row>
    <row r="340" spans="3:6" ht="15.75" customHeight="1" x14ac:dyDescent="0.3">
      <c r="C340" s="121"/>
      <c r="E340" s="121"/>
      <c r="F340" s="121"/>
    </row>
    <row r="341" spans="3:6" ht="15.75" customHeight="1" x14ac:dyDescent="0.3">
      <c r="C341" s="121"/>
      <c r="E341" s="121"/>
      <c r="F341" s="121"/>
    </row>
    <row r="342" spans="3:6" ht="15.75" customHeight="1" x14ac:dyDescent="0.3">
      <c r="C342" s="121"/>
      <c r="E342" s="121"/>
      <c r="F342" s="121"/>
    </row>
    <row r="343" spans="3:6" ht="15.75" customHeight="1" x14ac:dyDescent="0.3">
      <c r="C343" s="121"/>
      <c r="E343" s="121"/>
      <c r="F343" s="121"/>
    </row>
    <row r="344" spans="3:6" ht="15.75" customHeight="1" x14ac:dyDescent="0.3">
      <c r="C344" s="121"/>
      <c r="E344" s="121"/>
      <c r="F344" s="121"/>
    </row>
    <row r="345" spans="3:6" ht="15.75" customHeight="1" x14ac:dyDescent="0.3">
      <c r="C345" s="121"/>
      <c r="E345" s="121"/>
      <c r="F345" s="121"/>
    </row>
    <row r="346" spans="3:6" ht="15.75" customHeight="1" x14ac:dyDescent="0.3">
      <c r="C346" s="121"/>
      <c r="E346" s="121"/>
      <c r="F346" s="121"/>
    </row>
    <row r="347" spans="3:6" ht="15.75" customHeight="1" x14ac:dyDescent="0.3">
      <c r="C347" s="121"/>
      <c r="E347" s="121"/>
      <c r="F347" s="121"/>
    </row>
    <row r="348" spans="3:6" ht="15.75" customHeight="1" x14ac:dyDescent="0.3">
      <c r="C348" s="121"/>
      <c r="E348" s="121"/>
      <c r="F348" s="121"/>
    </row>
    <row r="349" spans="3:6" ht="15.75" customHeight="1" x14ac:dyDescent="0.3">
      <c r="C349" s="121"/>
      <c r="E349" s="121"/>
      <c r="F349" s="121"/>
    </row>
    <row r="350" spans="3:6" ht="15.75" customHeight="1" x14ac:dyDescent="0.3">
      <c r="C350" s="121"/>
      <c r="E350" s="121"/>
      <c r="F350" s="121"/>
    </row>
    <row r="351" spans="3:6" ht="15.75" customHeight="1" x14ac:dyDescent="0.3">
      <c r="C351" s="121"/>
      <c r="E351" s="121"/>
      <c r="F351" s="121"/>
    </row>
    <row r="352" spans="3:6" ht="15.75" customHeight="1" x14ac:dyDescent="0.3">
      <c r="C352" s="121"/>
      <c r="E352" s="121"/>
      <c r="F352" s="121"/>
    </row>
    <row r="353" spans="3:6" ht="15.75" customHeight="1" x14ac:dyDescent="0.3">
      <c r="C353" s="121"/>
      <c r="E353" s="121"/>
      <c r="F353" s="121"/>
    </row>
    <row r="354" spans="3:6" ht="15.75" customHeight="1" x14ac:dyDescent="0.3">
      <c r="C354" s="121"/>
      <c r="E354" s="121"/>
      <c r="F354" s="121"/>
    </row>
    <row r="355" spans="3:6" ht="15.75" customHeight="1" x14ac:dyDescent="0.3">
      <c r="C355" s="121"/>
      <c r="E355" s="121"/>
      <c r="F355" s="121"/>
    </row>
    <row r="356" spans="3:6" ht="15.75" customHeight="1" x14ac:dyDescent="0.3">
      <c r="C356" s="121"/>
      <c r="E356" s="121"/>
      <c r="F356" s="121"/>
    </row>
    <row r="357" spans="3:6" ht="15.75" customHeight="1" x14ac:dyDescent="0.3">
      <c r="C357" s="121"/>
      <c r="E357" s="121"/>
      <c r="F357" s="121"/>
    </row>
    <row r="358" spans="3:6" ht="15.75" customHeight="1" x14ac:dyDescent="0.3">
      <c r="C358" s="121"/>
      <c r="E358" s="121"/>
      <c r="F358" s="121"/>
    </row>
    <row r="359" spans="3:6" ht="15.75" customHeight="1" x14ac:dyDescent="0.3">
      <c r="C359" s="121"/>
      <c r="E359" s="121"/>
      <c r="F359" s="121"/>
    </row>
    <row r="360" spans="3:6" ht="15.75" customHeight="1" x14ac:dyDescent="0.3">
      <c r="C360" s="121"/>
      <c r="E360" s="121"/>
      <c r="F360" s="121"/>
    </row>
    <row r="361" spans="3:6" ht="15.75" customHeight="1" x14ac:dyDescent="0.3">
      <c r="C361" s="121"/>
      <c r="E361" s="121"/>
      <c r="F361" s="121"/>
    </row>
    <row r="362" spans="3:6" ht="15.75" customHeight="1" x14ac:dyDescent="0.3">
      <c r="C362" s="121"/>
      <c r="E362" s="121"/>
      <c r="F362" s="121"/>
    </row>
    <row r="363" spans="3:6" ht="15.75" customHeight="1" x14ac:dyDescent="0.3">
      <c r="C363" s="121"/>
      <c r="E363" s="121"/>
      <c r="F363" s="121"/>
    </row>
    <row r="364" spans="3:6" ht="15.75" customHeight="1" x14ac:dyDescent="0.3">
      <c r="C364" s="121"/>
      <c r="E364" s="121"/>
      <c r="F364" s="121"/>
    </row>
    <row r="365" spans="3:6" ht="15.75" customHeight="1" x14ac:dyDescent="0.3">
      <c r="C365" s="121"/>
      <c r="E365" s="121"/>
      <c r="F365" s="121"/>
    </row>
    <row r="366" spans="3:6" ht="15.75" customHeight="1" x14ac:dyDescent="0.3">
      <c r="C366" s="121"/>
      <c r="E366" s="121"/>
      <c r="F366" s="121"/>
    </row>
    <row r="367" spans="3:6" ht="15.75" customHeight="1" x14ac:dyDescent="0.3">
      <c r="C367" s="121"/>
      <c r="E367" s="121"/>
      <c r="F367" s="121"/>
    </row>
    <row r="368" spans="3:6" ht="15.75" customHeight="1" x14ac:dyDescent="0.3">
      <c r="C368" s="121"/>
      <c r="E368" s="121"/>
      <c r="F368" s="121"/>
    </row>
    <row r="369" spans="3:6" ht="15.75" customHeight="1" x14ac:dyDescent="0.3">
      <c r="C369" s="121"/>
      <c r="E369" s="121"/>
      <c r="F369" s="121"/>
    </row>
    <row r="370" spans="3:6" ht="15.75" customHeight="1" x14ac:dyDescent="0.3">
      <c r="C370" s="121"/>
      <c r="E370" s="121"/>
      <c r="F370" s="121"/>
    </row>
    <row r="371" spans="3:6" ht="15.75" customHeight="1" x14ac:dyDescent="0.3">
      <c r="C371" s="121"/>
      <c r="E371" s="121"/>
      <c r="F371" s="121"/>
    </row>
    <row r="372" spans="3:6" ht="15.75" customHeight="1" x14ac:dyDescent="0.3">
      <c r="C372" s="121"/>
      <c r="E372" s="121"/>
      <c r="F372" s="121"/>
    </row>
    <row r="373" spans="3:6" ht="15.75" customHeight="1" x14ac:dyDescent="0.3">
      <c r="C373" s="121"/>
      <c r="E373" s="121"/>
      <c r="F373" s="121"/>
    </row>
    <row r="374" spans="3:6" ht="15.75" customHeight="1" x14ac:dyDescent="0.3">
      <c r="C374" s="121"/>
      <c r="E374" s="121"/>
      <c r="F374" s="121"/>
    </row>
    <row r="375" spans="3:6" ht="15.75" customHeight="1" x14ac:dyDescent="0.3">
      <c r="C375" s="121"/>
      <c r="E375" s="121"/>
      <c r="F375" s="121"/>
    </row>
    <row r="376" spans="3:6" ht="15.75" customHeight="1" x14ac:dyDescent="0.3">
      <c r="C376" s="121"/>
      <c r="E376" s="121"/>
      <c r="F376" s="121"/>
    </row>
    <row r="377" spans="3:6" ht="15.75" customHeight="1" x14ac:dyDescent="0.3">
      <c r="C377" s="121"/>
      <c r="E377" s="121"/>
      <c r="F377" s="121"/>
    </row>
    <row r="378" spans="3:6" ht="15.75" customHeight="1" x14ac:dyDescent="0.3">
      <c r="C378" s="121"/>
      <c r="E378" s="121"/>
      <c r="F378" s="121"/>
    </row>
    <row r="379" spans="3:6" ht="15.75" customHeight="1" x14ac:dyDescent="0.3">
      <c r="C379" s="121"/>
      <c r="E379" s="121"/>
      <c r="F379" s="121"/>
    </row>
    <row r="380" spans="3:6" ht="15.75" customHeight="1" x14ac:dyDescent="0.3">
      <c r="C380" s="121"/>
      <c r="E380" s="121"/>
      <c r="F380" s="121"/>
    </row>
    <row r="381" spans="3:6" ht="15.75" customHeight="1" x14ac:dyDescent="0.3">
      <c r="C381" s="121"/>
      <c r="E381" s="121"/>
      <c r="F381" s="121"/>
    </row>
    <row r="382" spans="3:6" ht="15.75" customHeight="1" x14ac:dyDescent="0.3">
      <c r="C382" s="121"/>
      <c r="E382" s="121"/>
      <c r="F382" s="121"/>
    </row>
    <row r="383" spans="3:6" ht="15.75" customHeight="1" x14ac:dyDescent="0.3">
      <c r="C383" s="121"/>
      <c r="E383" s="121"/>
      <c r="F383" s="121"/>
    </row>
    <row r="384" spans="3:6" ht="15.75" customHeight="1" x14ac:dyDescent="0.3">
      <c r="C384" s="121"/>
      <c r="E384" s="121"/>
      <c r="F384" s="121"/>
    </row>
    <row r="385" spans="3:6" ht="15.75" customHeight="1" x14ac:dyDescent="0.3">
      <c r="C385" s="121"/>
      <c r="E385" s="121"/>
      <c r="F385" s="121"/>
    </row>
    <row r="386" spans="3:6" ht="15.75" customHeight="1" x14ac:dyDescent="0.3">
      <c r="C386" s="121"/>
      <c r="E386" s="121"/>
      <c r="F386" s="121"/>
    </row>
    <row r="387" spans="3:6" ht="15.75" customHeight="1" x14ac:dyDescent="0.3">
      <c r="C387" s="121"/>
      <c r="E387" s="121"/>
      <c r="F387" s="121"/>
    </row>
    <row r="388" spans="3:6" ht="15.75" customHeight="1" x14ac:dyDescent="0.3">
      <c r="C388" s="121"/>
      <c r="E388" s="121"/>
      <c r="F388" s="121"/>
    </row>
    <row r="389" spans="3:6" ht="15.75" customHeight="1" x14ac:dyDescent="0.3">
      <c r="C389" s="121"/>
      <c r="E389" s="121"/>
      <c r="F389" s="121"/>
    </row>
    <row r="390" spans="3:6" ht="15.75" customHeight="1" x14ac:dyDescent="0.3">
      <c r="C390" s="121"/>
      <c r="E390" s="121"/>
      <c r="F390" s="121"/>
    </row>
    <row r="391" spans="3:6" ht="15.75" customHeight="1" x14ac:dyDescent="0.3">
      <c r="C391" s="121"/>
      <c r="E391" s="121"/>
      <c r="F391" s="121"/>
    </row>
    <row r="392" spans="3:6" ht="15.75" customHeight="1" x14ac:dyDescent="0.3">
      <c r="C392" s="121"/>
      <c r="E392" s="121"/>
      <c r="F392" s="121"/>
    </row>
    <row r="393" spans="3:6" ht="15.75" customHeight="1" x14ac:dyDescent="0.3">
      <c r="C393" s="121"/>
      <c r="E393" s="121"/>
      <c r="F393" s="121"/>
    </row>
    <row r="394" spans="3:6" ht="15.75" customHeight="1" x14ac:dyDescent="0.3">
      <c r="C394" s="121"/>
      <c r="E394" s="121"/>
      <c r="F394" s="121"/>
    </row>
    <row r="395" spans="3:6" ht="15.75" customHeight="1" x14ac:dyDescent="0.3">
      <c r="C395" s="121"/>
      <c r="E395" s="121"/>
      <c r="F395" s="121"/>
    </row>
    <row r="396" spans="3:6" ht="15.75" customHeight="1" x14ac:dyDescent="0.3">
      <c r="C396" s="121"/>
      <c r="E396" s="121"/>
      <c r="F396" s="121"/>
    </row>
    <row r="397" spans="3:6" ht="15.75" customHeight="1" x14ac:dyDescent="0.3">
      <c r="C397" s="121"/>
      <c r="E397" s="121"/>
      <c r="F397" s="121"/>
    </row>
    <row r="398" spans="3:6" ht="15.75" customHeight="1" x14ac:dyDescent="0.3">
      <c r="C398" s="121"/>
      <c r="E398" s="121"/>
      <c r="F398" s="121"/>
    </row>
    <row r="399" spans="3:6" ht="15.75" customHeight="1" x14ac:dyDescent="0.3">
      <c r="C399" s="121"/>
      <c r="E399" s="121"/>
      <c r="F399" s="121"/>
    </row>
    <row r="400" spans="3:6" ht="15.75" customHeight="1" x14ac:dyDescent="0.3">
      <c r="C400" s="121"/>
      <c r="E400" s="121"/>
      <c r="F400" s="121"/>
    </row>
    <row r="401" spans="3:6" ht="15.75" customHeight="1" x14ac:dyDescent="0.3">
      <c r="C401" s="121"/>
      <c r="E401" s="121"/>
      <c r="F401" s="121"/>
    </row>
    <row r="402" spans="3:6" ht="15.75" customHeight="1" x14ac:dyDescent="0.3">
      <c r="C402" s="121"/>
      <c r="E402" s="121"/>
      <c r="F402" s="121"/>
    </row>
    <row r="403" spans="3:6" ht="15.75" customHeight="1" x14ac:dyDescent="0.3">
      <c r="C403" s="121"/>
      <c r="E403" s="121"/>
      <c r="F403" s="121"/>
    </row>
    <row r="404" spans="3:6" ht="15.75" customHeight="1" x14ac:dyDescent="0.3">
      <c r="C404" s="121"/>
      <c r="E404" s="121"/>
      <c r="F404" s="121"/>
    </row>
    <row r="405" spans="3:6" ht="15.75" customHeight="1" x14ac:dyDescent="0.3">
      <c r="C405" s="121"/>
      <c r="E405" s="121"/>
      <c r="F405" s="121"/>
    </row>
    <row r="406" spans="3:6" ht="15.75" customHeight="1" x14ac:dyDescent="0.3">
      <c r="C406" s="121"/>
      <c r="E406" s="121"/>
      <c r="F406" s="121"/>
    </row>
    <row r="407" spans="3:6" ht="15.75" customHeight="1" x14ac:dyDescent="0.3">
      <c r="C407" s="121"/>
      <c r="E407" s="121"/>
      <c r="F407" s="121"/>
    </row>
    <row r="408" spans="3:6" ht="15.75" customHeight="1" x14ac:dyDescent="0.3">
      <c r="C408" s="121"/>
      <c r="E408" s="121"/>
      <c r="F408" s="121"/>
    </row>
    <row r="409" spans="3:6" ht="15.75" customHeight="1" x14ac:dyDescent="0.3">
      <c r="C409" s="121"/>
      <c r="E409" s="121"/>
      <c r="F409" s="121"/>
    </row>
    <row r="410" spans="3:6" ht="15.75" customHeight="1" x14ac:dyDescent="0.3">
      <c r="C410" s="121"/>
      <c r="E410" s="121"/>
      <c r="F410" s="121"/>
    </row>
    <row r="411" spans="3:6" ht="15.75" customHeight="1" x14ac:dyDescent="0.3">
      <c r="C411" s="121"/>
      <c r="E411" s="121"/>
      <c r="F411" s="121"/>
    </row>
    <row r="412" spans="3:6" ht="15.75" customHeight="1" x14ac:dyDescent="0.3">
      <c r="C412" s="121"/>
      <c r="E412" s="121"/>
      <c r="F412" s="121"/>
    </row>
    <row r="413" spans="3:6" ht="15.75" customHeight="1" x14ac:dyDescent="0.3">
      <c r="C413" s="121"/>
      <c r="E413" s="121"/>
      <c r="F413" s="121"/>
    </row>
    <row r="414" spans="3:6" ht="15.75" customHeight="1" x14ac:dyDescent="0.3">
      <c r="C414" s="121"/>
      <c r="E414" s="121"/>
      <c r="F414" s="121"/>
    </row>
    <row r="415" spans="3:6" ht="15.75" customHeight="1" x14ac:dyDescent="0.3">
      <c r="C415" s="121"/>
      <c r="E415" s="121"/>
      <c r="F415" s="121"/>
    </row>
    <row r="416" spans="3:6" ht="15.75" customHeight="1" x14ac:dyDescent="0.3">
      <c r="C416" s="121"/>
      <c r="E416" s="121"/>
      <c r="F416" s="121"/>
    </row>
    <row r="417" spans="3:6" ht="15.75" customHeight="1" x14ac:dyDescent="0.3">
      <c r="C417" s="121"/>
      <c r="E417" s="121"/>
      <c r="F417" s="121"/>
    </row>
    <row r="418" spans="3:6" ht="15.75" customHeight="1" x14ac:dyDescent="0.3">
      <c r="C418" s="121"/>
      <c r="E418" s="121"/>
      <c r="F418" s="121"/>
    </row>
    <row r="419" spans="3:6" ht="15.75" customHeight="1" x14ac:dyDescent="0.3">
      <c r="C419" s="121"/>
      <c r="E419" s="121"/>
      <c r="F419" s="121"/>
    </row>
    <row r="420" spans="3:6" ht="15.75" customHeight="1" x14ac:dyDescent="0.3">
      <c r="C420" s="121"/>
      <c r="E420" s="121"/>
      <c r="F420" s="121"/>
    </row>
    <row r="421" spans="3:6" ht="15.75" customHeight="1" x14ac:dyDescent="0.3">
      <c r="C421" s="121"/>
      <c r="E421" s="121"/>
      <c r="F421" s="121"/>
    </row>
    <row r="422" spans="3:6" ht="15.75" customHeight="1" x14ac:dyDescent="0.3">
      <c r="C422" s="121"/>
      <c r="E422" s="121"/>
      <c r="F422" s="121"/>
    </row>
    <row r="423" spans="3:6" ht="15.75" customHeight="1" x14ac:dyDescent="0.3">
      <c r="C423" s="121"/>
      <c r="E423" s="121"/>
      <c r="F423" s="121"/>
    </row>
    <row r="424" spans="3:6" ht="15.75" customHeight="1" x14ac:dyDescent="0.3">
      <c r="C424" s="121"/>
      <c r="E424" s="121"/>
      <c r="F424" s="121"/>
    </row>
    <row r="425" spans="3:6" ht="15.75" customHeight="1" x14ac:dyDescent="0.3">
      <c r="C425" s="121"/>
      <c r="E425" s="121"/>
      <c r="F425" s="121"/>
    </row>
    <row r="426" spans="3:6" ht="15.75" customHeight="1" x14ac:dyDescent="0.3">
      <c r="C426" s="121"/>
      <c r="E426" s="121"/>
      <c r="F426" s="121"/>
    </row>
    <row r="427" spans="3:6" ht="15.75" customHeight="1" x14ac:dyDescent="0.3">
      <c r="C427" s="121"/>
      <c r="E427" s="121"/>
      <c r="F427" s="121"/>
    </row>
    <row r="428" spans="3:6" ht="15.75" customHeight="1" x14ac:dyDescent="0.3">
      <c r="C428" s="121"/>
      <c r="E428" s="121"/>
      <c r="F428" s="121"/>
    </row>
    <row r="429" spans="3:6" ht="15.75" customHeight="1" x14ac:dyDescent="0.3">
      <c r="C429" s="121"/>
      <c r="E429" s="121"/>
      <c r="F429" s="121"/>
    </row>
    <row r="430" spans="3:6" ht="15.75" customHeight="1" x14ac:dyDescent="0.3">
      <c r="C430" s="121"/>
      <c r="E430" s="121"/>
      <c r="F430" s="121"/>
    </row>
    <row r="431" spans="3:6" ht="15.75" customHeight="1" x14ac:dyDescent="0.3">
      <c r="C431" s="121"/>
      <c r="E431" s="121"/>
      <c r="F431" s="121"/>
    </row>
    <row r="432" spans="3:6" ht="15.75" customHeight="1" x14ac:dyDescent="0.3">
      <c r="C432" s="121"/>
      <c r="E432" s="121"/>
      <c r="F432" s="121"/>
    </row>
    <row r="433" spans="3:6" ht="15.75" customHeight="1" x14ac:dyDescent="0.3">
      <c r="C433" s="121"/>
      <c r="E433" s="121"/>
      <c r="F433" s="121"/>
    </row>
    <row r="434" spans="3:6" ht="15.75" customHeight="1" x14ac:dyDescent="0.3">
      <c r="C434" s="121"/>
      <c r="E434" s="121"/>
      <c r="F434" s="121"/>
    </row>
    <row r="435" spans="3:6" ht="15.75" customHeight="1" x14ac:dyDescent="0.3">
      <c r="C435" s="121"/>
      <c r="E435" s="121"/>
      <c r="F435" s="121"/>
    </row>
    <row r="436" spans="3:6" ht="15.75" customHeight="1" x14ac:dyDescent="0.3">
      <c r="C436" s="121"/>
      <c r="E436" s="121"/>
      <c r="F436" s="121"/>
    </row>
    <row r="437" spans="3:6" ht="15.75" customHeight="1" x14ac:dyDescent="0.3">
      <c r="C437" s="121"/>
      <c r="E437" s="121"/>
      <c r="F437" s="121"/>
    </row>
    <row r="438" spans="3:6" ht="15.75" customHeight="1" x14ac:dyDescent="0.3">
      <c r="C438" s="121"/>
      <c r="E438" s="121"/>
      <c r="F438" s="121"/>
    </row>
    <row r="439" spans="3:6" ht="15.75" customHeight="1" x14ac:dyDescent="0.3">
      <c r="C439" s="121"/>
      <c r="E439" s="121"/>
      <c r="F439" s="121"/>
    </row>
    <row r="440" spans="3:6" ht="15.75" customHeight="1" x14ac:dyDescent="0.3">
      <c r="C440" s="121"/>
      <c r="E440" s="121"/>
      <c r="F440" s="121"/>
    </row>
    <row r="441" spans="3:6" ht="15.75" customHeight="1" x14ac:dyDescent="0.3">
      <c r="C441" s="121"/>
      <c r="E441" s="121"/>
      <c r="F441" s="121"/>
    </row>
    <row r="442" spans="3:6" ht="15.75" customHeight="1" x14ac:dyDescent="0.3">
      <c r="C442" s="121"/>
      <c r="E442" s="121"/>
      <c r="F442" s="121"/>
    </row>
    <row r="443" spans="3:6" ht="15.75" customHeight="1" x14ac:dyDescent="0.3">
      <c r="C443" s="121"/>
      <c r="E443" s="121"/>
      <c r="F443" s="121"/>
    </row>
    <row r="444" spans="3:6" ht="15.75" customHeight="1" x14ac:dyDescent="0.3">
      <c r="C444" s="121"/>
      <c r="E444" s="121"/>
      <c r="F444" s="121"/>
    </row>
    <row r="445" spans="3:6" ht="15.75" customHeight="1" x14ac:dyDescent="0.3">
      <c r="C445" s="121"/>
      <c r="E445" s="121"/>
      <c r="F445" s="121"/>
    </row>
    <row r="446" spans="3:6" ht="15.75" customHeight="1" x14ac:dyDescent="0.3">
      <c r="C446" s="121"/>
      <c r="E446" s="121"/>
      <c r="F446" s="121"/>
    </row>
    <row r="447" spans="3:6" ht="15.75" customHeight="1" x14ac:dyDescent="0.3">
      <c r="C447" s="121"/>
      <c r="E447" s="121"/>
      <c r="F447" s="121"/>
    </row>
    <row r="448" spans="3:6" ht="15.75" customHeight="1" x14ac:dyDescent="0.3">
      <c r="C448" s="121"/>
      <c r="E448" s="121"/>
      <c r="F448" s="121"/>
    </row>
    <row r="449" spans="3:6" ht="15.75" customHeight="1" x14ac:dyDescent="0.3">
      <c r="C449" s="121"/>
      <c r="E449" s="121"/>
      <c r="F449" s="121"/>
    </row>
    <row r="450" spans="3:6" ht="15.75" customHeight="1" x14ac:dyDescent="0.3">
      <c r="C450" s="121"/>
      <c r="E450" s="121"/>
      <c r="F450" s="121"/>
    </row>
    <row r="451" spans="3:6" ht="15.75" customHeight="1" x14ac:dyDescent="0.3">
      <c r="C451" s="121"/>
      <c r="E451" s="121"/>
      <c r="F451" s="121"/>
    </row>
    <row r="452" spans="3:6" ht="15.75" customHeight="1" x14ac:dyDescent="0.3">
      <c r="C452" s="121"/>
      <c r="E452" s="121"/>
      <c r="F452" s="121"/>
    </row>
    <row r="453" spans="3:6" ht="15.75" customHeight="1" x14ac:dyDescent="0.3">
      <c r="C453" s="121"/>
      <c r="E453" s="121"/>
      <c r="F453" s="121"/>
    </row>
    <row r="454" spans="3:6" ht="15.75" customHeight="1" x14ac:dyDescent="0.3">
      <c r="C454" s="121"/>
      <c r="E454" s="121"/>
      <c r="F454" s="121"/>
    </row>
    <row r="455" spans="3:6" ht="15.75" customHeight="1" x14ac:dyDescent="0.3">
      <c r="C455" s="121"/>
      <c r="E455" s="121"/>
      <c r="F455" s="121"/>
    </row>
    <row r="456" spans="3:6" ht="15.75" customHeight="1" x14ac:dyDescent="0.3">
      <c r="C456" s="121"/>
      <c r="E456" s="121"/>
      <c r="F456" s="121"/>
    </row>
    <row r="457" spans="3:6" ht="15.75" customHeight="1" x14ac:dyDescent="0.3">
      <c r="C457" s="121"/>
      <c r="E457" s="121"/>
      <c r="F457" s="121"/>
    </row>
    <row r="458" spans="3:6" ht="15.75" customHeight="1" x14ac:dyDescent="0.3">
      <c r="C458" s="121"/>
      <c r="E458" s="121"/>
      <c r="F458" s="121"/>
    </row>
    <row r="459" spans="3:6" ht="15.75" customHeight="1" x14ac:dyDescent="0.3">
      <c r="C459" s="121"/>
      <c r="E459" s="121"/>
      <c r="F459" s="121"/>
    </row>
    <row r="460" spans="3:6" ht="15.75" customHeight="1" x14ac:dyDescent="0.3">
      <c r="C460" s="121"/>
      <c r="E460" s="121"/>
      <c r="F460" s="121"/>
    </row>
    <row r="461" spans="3:6" ht="15.75" customHeight="1" x14ac:dyDescent="0.3">
      <c r="C461" s="121"/>
      <c r="E461" s="121"/>
      <c r="F461" s="121"/>
    </row>
    <row r="462" spans="3:6" ht="15.75" customHeight="1" x14ac:dyDescent="0.3">
      <c r="C462" s="121"/>
      <c r="E462" s="121"/>
      <c r="F462" s="121"/>
    </row>
    <row r="463" spans="3:6" ht="15.75" customHeight="1" x14ac:dyDescent="0.3">
      <c r="C463" s="121"/>
      <c r="E463" s="121"/>
      <c r="F463" s="121"/>
    </row>
    <row r="464" spans="3:6" ht="15.75" customHeight="1" x14ac:dyDescent="0.3">
      <c r="C464" s="121"/>
      <c r="E464" s="121"/>
      <c r="F464" s="121"/>
    </row>
    <row r="465" spans="3:6" ht="15.75" customHeight="1" x14ac:dyDescent="0.3">
      <c r="C465" s="121"/>
      <c r="E465" s="121"/>
      <c r="F465" s="121"/>
    </row>
    <row r="466" spans="3:6" ht="15.75" customHeight="1" x14ac:dyDescent="0.3">
      <c r="C466" s="121"/>
      <c r="E466" s="121"/>
      <c r="F466" s="121"/>
    </row>
    <row r="467" spans="3:6" ht="15.75" customHeight="1" x14ac:dyDescent="0.3">
      <c r="C467" s="121"/>
      <c r="E467" s="121"/>
      <c r="F467" s="121"/>
    </row>
    <row r="468" spans="3:6" ht="15.75" customHeight="1" x14ac:dyDescent="0.3">
      <c r="C468" s="121"/>
      <c r="E468" s="121"/>
      <c r="F468" s="121"/>
    </row>
    <row r="469" spans="3:6" ht="15.75" customHeight="1" x14ac:dyDescent="0.3">
      <c r="C469" s="121"/>
      <c r="E469" s="121"/>
      <c r="F469" s="121"/>
    </row>
    <row r="470" spans="3:6" ht="15.75" customHeight="1" x14ac:dyDescent="0.3">
      <c r="C470" s="121"/>
      <c r="E470" s="121"/>
      <c r="F470" s="121"/>
    </row>
    <row r="471" spans="3:6" ht="15.75" customHeight="1" x14ac:dyDescent="0.3">
      <c r="C471" s="121"/>
      <c r="E471" s="121"/>
      <c r="F471" s="121"/>
    </row>
    <row r="472" spans="3:6" ht="15.75" customHeight="1" x14ac:dyDescent="0.3">
      <c r="C472" s="121"/>
      <c r="E472" s="121"/>
      <c r="F472" s="121"/>
    </row>
    <row r="473" spans="3:6" ht="15.75" customHeight="1" x14ac:dyDescent="0.3">
      <c r="C473" s="121"/>
      <c r="E473" s="121"/>
      <c r="F473" s="121"/>
    </row>
    <row r="474" spans="3:6" ht="15.75" customHeight="1" x14ac:dyDescent="0.3">
      <c r="C474" s="121"/>
      <c r="E474" s="121"/>
      <c r="F474" s="121"/>
    </row>
    <row r="475" spans="3:6" ht="15.75" customHeight="1" x14ac:dyDescent="0.3">
      <c r="C475" s="121"/>
      <c r="E475" s="121"/>
      <c r="F475" s="121"/>
    </row>
    <row r="476" spans="3:6" ht="15.75" customHeight="1" x14ac:dyDescent="0.3">
      <c r="C476" s="121"/>
      <c r="E476" s="121"/>
      <c r="F476" s="121"/>
    </row>
    <row r="477" spans="3:6" ht="15.75" customHeight="1" x14ac:dyDescent="0.3">
      <c r="C477" s="121"/>
      <c r="E477" s="121"/>
      <c r="F477" s="121"/>
    </row>
    <row r="478" spans="3:6" ht="15.75" customHeight="1" x14ac:dyDescent="0.3">
      <c r="C478" s="121"/>
      <c r="E478" s="121"/>
      <c r="F478" s="121"/>
    </row>
    <row r="479" spans="3:6" ht="15.75" customHeight="1" x14ac:dyDescent="0.3">
      <c r="C479" s="121"/>
      <c r="E479" s="121"/>
      <c r="F479" s="121"/>
    </row>
    <row r="480" spans="3:6" ht="15.75" customHeight="1" x14ac:dyDescent="0.3">
      <c r="C480" s="121"/>
      <c r="E480" s="121"/>
      <c r="F480" s="121"/>
    </row>
    <row r="481" spans="3:6" ht="15.75" customHeight="1" x14ac:dyDescent="0.3">
      <c r="C481" s="121"/>
      <c r="E481" s="121"/>
      <c r="F481" s="121"/>
    </row>
    <row r="482" spans="3:6" ht="15.75" customHeight="1" x14ac:dyDescent="0.3">
      <c r="C482" s="121"/>
      <c r="E482" s="121"/>
      <c r="F482" s="121"/>
    </row>
    <row r="483" spans="3:6" ht="15.75" customHeight="1" x14ac:dyDescent="0.3">
      <c r="C483" s="121"/>
      <c r="E483" s="121"/>
      <c r="F483" s="121"/>
    </row>
    <row r="484" spans="3:6" ht="15.75" customHeight="1" x14ac:dyDescent="0.3">
      <c r="C484" s="121"/>
      <c r="E484" s="121"/>
      <c r="F484" s="121"/>
    </row>
    <row r="485" spans="3:6" ht="15.75" customHeight="1" x14ac:dyDescent="0.3">
      <c r="C485" s="121"/>
      <c r="E485" s="121"/>
      <c r="F485" s="121"/>
    </row>
    <row r="486" spans="3:6" ht="15.75" customHeight="1" x14ac:dyDescent="0.3">
      <c r="C486" s="121"/>
      <c r="E486" s="121"/>
      <c r="F486" s="121"/>
    </row>
    <row r="487" spans="3:6" ht="15.75" customHeight="1" x14ac:dyDescent="0.3">
      <c r="C487" s="121"/>
      <c r="E487" s="121"/>
      <c r="F487" s="121"/>
    </row>
    <row r="488" spans="3:6" ht="15.75" customHeight="1" x14ac:dyDescent="0.3">
      <c r="C488" s="121"/>
      <c r="E488" s="121"/>
      <c r="F488" s="121"/>
    </row>
    <row r="489" spans="3:6" ht="15.75" customHeight="1" x14ac:dyDescent="0.3">
      <c r="C489" s="121"/>
      <c r="E489" s="121"/>
      <c r="F489" s="121"/>
    </row>
    <row r="490" spans="3:6" ht="15.75" customHeight="1" x14ac:dyDescent="0.3">
      <c r="C490" s="121"/>
      <c r="E490" s="121"/>
      <c r="F490" s="121"/>
    </row>
    <row r="491" spans="3:6" ht="15.75" customHeight="1" x14ac:dyDescent="0.3">
      <c r="C491" s="121"/>
      <c r="E491" s="121"/>
      <c r="F491" s="121"/>
    </row>
    <row r="492" spans="3:6" ht="15.75" customHeight="1" x14ac:dyDescent="0.3">
      <c r="C492" s="121"/>
      <c r="E492" s="121"/>
      <c r="F492" s="121"/>
    </row>
    <row r="493" spans="3:6" ht="15.75" customHeight="1" x14ac:dyDescent="0.3">
      <c r="C493" s="121"/>
      <c r="E493" s="121"/>
      <c r="F493" s="121"/>
    </row>
    <row r="494" spans="3:6" ht="15.75" customHeight="1" x14ac:dyDescent="0.3">
      <c r="C494" s="121"/>
      <c r="E494" s="121"/>
      <c r="F494" s="121"/>
    </row>
    <row r="495" spans="3:6" ht="15.75" customHeight="1" x14ac:dyDescent="0.3">
      <c r="C495" s="121"/>
      <c r="E495" s="121"/>
      <c r="F495" s="121"/>
    </row>
    <row r="496" spans="3:6" ht="15.75" customHeight="1" x14ac:dyDescent="0.3">
      <c r="C496" s="121"/>
      <c r="E496" s="121"/>
      <c r="F496" s="121"/>
    </row>
    <row r="497" spans="3:6" ht="15.75" customHeight="1" x14ac:dyDescent="0.3">
      <c r="C497" s="121"/>
      <c r="E497" s="121"/>
      <c r="F497" s="121"/>
    </row>
    <row r="498" spans="3:6" ht="15.75" customHeight="1" x14ac:dyDescent="0.3">
      <c r="C498" s="121"/>
      <c r="E498" s="121"/>
      <c r="F498" s="121"/>
    </row>
    <row r="499" spans="3:6" ht="15.75" customHeight="1" x14ac:dyDescent="0.3">
      <c r="C499" s="121"/>
      <c r="E499" s="121"/>
      <c r="F499" s="121"/>
    </row>
    <row r="500" spans="3:6" ht="15.75" customHeight="1" x14ac:dyDescent="0.3">
      <c r="C500" s="121"/>
      <c r="E500" s="121"/>
      <c r="F500" s="121"/>
    </row>
    <row r="501" spans="3:6" ht="15.75" customHeight="1" x14ac:dyDescent="0.3">
      <c r="C501" s="121"/>
      <c r="E501" s="121"/>
      <c r="F501" s="121"/>
    </row>
    <row r="502" spans="3:6" ht="15.75" customHeight="1" x14ac:dyDescent="0.3">
      <c r="C502" s="121"/>
      <c r="E502" s="121"/>
      <c r="F502" s="121"/>
    </row>
    <row r="503" spans="3:6" ht="15.75" customHeight="1" x14ac:dyDescent="0.3">
      <c r="C503" s="121"/>
      <c r="E503" s="121"/>
      <c r="F503" s="121"/>
    </row>
    <row r="504" spans="3:6" ht="15.75" customHeight="1" x14ac:dyDescent="0.3">
      <c r="C504" s="121"/>
      <c r="E504" s="121"/>
      <c r="F504" s="121"/>
    </row>
    <row r="505" spans="3:6" ht="15.75" customHeight="1" x14ac:dyDescent="0.3">
      <c r="C505" s="121"/>
      <c r="E505" s="121"/>
      <c r="F505" s="121"/>
    </row>
    <row r="506" spans="3:6" ht="15.75" customHeight="1" x14ac:dyDescent="0.3">
      <c r="C506" s="121"/>
      <c r="E506" s="121"/>
      <c r="F506" s="121"/>
    </row>
    <row r="507" spans="3:6" ht="15.75" customHeight="1" x14ac:dyDescent="0.3">
      <c r="C507" s="121"/>
      <c r="E507" s="121"/>
      <c r="F507" s="121"/>
    </row>
    <row r="508" spans="3:6" ht="15.75" customHeight="1" x14ac:dyDescent="0.3">
      <c r="C508" s="121"/>
      <c r="E508" s="121"/>
      <c r="F508" s="121"/>
    </row>
    <row r="509" spans="3:6" ht="15.75" customHeight="1" x14ac:dyDescent="0.3">
      <c r="C509" s="121"/>
      <c r="E509" s="121"/>
      <c r="F509" s="121"/>
    </row>
    <row r="510" spans="3:6" ht="15.75" customHeight="1" x14ac:dyDescent="0.3">
      <c r="C510" s="121"/>
      <c r="E510" s="121"/>
      <c r="F510" s="121"/>
    </row>
    <row r="511" spans="3:6" ht="15.75" customHeight="1" x14ac:dyDescent="0.3">
      <c r="C511" s="121"/>
      <c r="E511" s="121"/>
      <c r="F511" s="121"/>
    </row>
    <row r="512" spans="3:6" ht="15.75" customHeight="1" x14ac:dyDescent="0.3">
      <c r="C512" s="121"/>
      <c r="E512" s="121"/>
      <c r="F512" s="121"/>
    </row>
    <row r="513" spans="3:6" ht="15.75" customHeight="1" x14ac:dyDescent="0.3">
      <c r="C513" s="121"/>
      <c r="E513" s="121"/>
      <c r="F513" s="121"/>
    </row>
    <row r="514" spans="3:6" ht="15.75" customHeight="1" x14ac:dyDescent="0.3">
      <c r="C514" s="121"/>
      <c r="E514" s="121"/>
      <c r="F514" s="121"/>
    </row>
    <row r="515" spans="3:6" ht="15.75" customHeight="1" x14ac:dyDescent="0.3">
      <c r="C515" s="121"/>
      <c r="E515" s="121"/>
      <c r="F515" s="121"/>
    </row>
    <row r="516" spans="3:6" ht="15.75" customHeight="1" x14ac:dyDescent="0.3">
      <c r="C516" s="121"/>
      <c r="E516" s="121"/>
      <c r="F516" s="121"/>
    </row>
    <row r="517" spans="3:6" ht="15.75" customHeight="1" x14ac:dyDescent="0.3">
      <c r="C517" s="121"/>
      <c r="E517" s="121"/>
      <c r="F517" s="121"/>
    </row>
    <row r="518" spans="3:6" ht="15.75" customHeight="1" x14ac:dyDescent="0.3">
      <c r="C518" s="121"/>
      <c r="E518" s="121"/>
      <c r="F518" s="121"/>
    </row>
    <row r="519" spans="3:6" ht="15.75" customHeight="1" x14ac:dyDescent="0.3">
      <c r="C519" s="121"/>
      <c r="E519" s="121"/>
      <c r="F519" s="121"/>
    </row>
    <row r="520" spans="3:6" ht="15.75" customHeight="1" x14ac:dyDescent="0.3">
      <c r="C520" s="121"/>
      <c r="E520" s="121"/>
      <c r="F520" s="121"/>
    </row>
    <row r="521" spans="3:6" ht="15.75" customHeight="1" x14ac:dyDescent="0.3">
      <c r="C521" s="121"/>
      <c r="E521" s="121"/>
      <c r="F521" s="121"/>
    </row>
    <row r="522" spans="3:6" ht="15.75" customHeight="1" x14ac:dyDescent="0.3">
      <c r="C522" s="121"/>
      <c r="E522" s="121"/>
      <c r="F522" s="121"/>
    </row>
    <row r="523" spans="3:6" ht="15.75" customHeight="1" x14ac:dyDescent="0.3">
      <c r="C523" s="121"/>
      <c r="E523" s="121"/>
      <c r="F523" s="121"/>
    </row>
    <row r="524" spans="3:6" ht="15.75" customHeight="1" x14ac:dyDescent="0.3">
      <c r="C524" s="121"/>
      <c r="E524" s="121"/>
      <c r="F524" s="121"/>
    </row>
    <row r="525" spans="3:6" ht="15.75" customHeight="1" x14ac:dyDescent="0.3">
      <c r="C525" s="121"/>
      <c r="E525" s="121"/>
      <c r="F525" s="121"/>
    </row>
    <row r="526" spans="3:6" ht="15.75" customHeight="1" x14ac:dyDescent="0.3">
      <c r="C526" s="121"/>
      <c r="E526" s="121"/>
      <c r="F526" s="121"/>
    </row>
    <row r="527" spans="3:6" ht="15.75" customHeight="1" x14ac:dyDescent="0.3">
      <c r="C527" s="121"/>
      <c r="E527" s="121"/>
      <c r="F527" s="121"/>
    </row>
    <row r="528" spans="3:6" ht="15.75" customHeight="1" x14ac:dyDescent="0.3">
      <c r="C528" s="121"/>
      <c r="E528" s="121"/>
      <c r="F528" s="121"/>
    </row>
    <row r="529" spans="3:6" ht="15.75" customHeight="1" x14ac:dyDescent="0.3">
      <c r="C529" s="121"/>
      <c r="E529" s="121"/>
      <c r="F529" s="121"/>
    </row>
    <row r="530" spans="3:6" ht="15.75" customHeight="1" x14ac:dyDescent="0.3">
      <c r="C530" s="121"/>
      <c r="E530" s="121"/>
      <c r="F530" s="121"/>
    </row>
    <row r="531" spans="3:6" ht="15.75" customHeight="1" x14ac:dyDescent="0.3">
      <c r="C531" s="121"/>
      <c r="E531" s="121"/>
      <c r="F531" s="121"/>
    </row>
    <row r="532" spans="3:6" ht="15.75" customHeight="1" x14ac:dyDescent="0.3">
      <c r="C532" s="121"/>
      <c r="E532" s="121"/>
      <c r="F532" s="121"/>
    </row>
    <row r="533" spans="3:6" ht="15.75" customHeight="1" x14ac:dyDescent="0.3">
      <c r="C533" s="121"/>
      <c r="E533" s="121"/>
      <c r="F533" s="121"/>
    </row>
    <row r="534" spans="3:6" ht="15.75" customHeight="1" x14ac:dyDescent="0.3">
      <c r="C534" s="121"/>
      <c r="E534" s="121"/>
      <c r="F534" s="121"/>
    </row>
    <row r="535" spans="3:6" ht="15.75" customHeight="1" x14ac:dyDescent="0.3">
      <c r="C535" s="121"/>
      <c r="E535" s="121"/>
      <c r="F535" s="121"/>
    </row>
    <row r="536" spans="3:6" ht="15.75" customHeight="1" x14ac:dyDescent="0.3">
      <c r="C536" s="121"/>
      <c r="E536" s="121"/>
      <c r="F536" s="121"/>
    </row>
    <row r="537" spans="3:6" ht="15.75" customHeight="1" x14ac:dyDescent="0.3">
      <c r="C537" s="121"/>
      <c r="E537" s="121"/>
      <c r="F537" s="121"/>
    </row>
    <row r="538" spans="3:6" ht="15.75" customHeight="1" x14ac:dyDescent="0.3">
      <c r="C538" s="121"/>
      <c r="E538" s="121"/>
      <c r="F538" s="121"/>
    </row>
    <row r="539" spans="3:6" ht="15.75" customHeight="1" x14ac:dyDescent="0.3">
      <c r="C539" s="121"/>
      <c r="E539" s="121"/>
      <c r="F539" s="121"/>
    </row>
    <row r="540" spans="3:6" ht="15.75" customHeight="1" x14ac:dyDescent="0.3">
      <c r="C540" s="121"/>
      <c r="E540" s="121"/>
      <c r="F540" s="121"/>
    </row>
    <row r="541" spans="3:6" ht="15.75" customHeight="1" x14ac:dyDescent="0.3">
      <c r="C541" s="121"/>
      <c r="E541" s="121"/>
      <c r="F541" s="121"/>
    </row>
    <row r="542" spans="3:6" ht="15.75" customHeight="1" x14ac:dyDescent="0.3">
      <c r="C542" s="121"/>
      <c r="E542" s="121"/>
      <c r="F542" s="121"/>
    </row>
    <row r="543" spans="3:6" ht="15.75" customHeight="1" x14ac:dyDescent="0.3">
      <c r="C543" s="121"/>
      <c r="E543" s="121"/>
      <c r="F543" s="121"/>
    </row>
    <row r="544" spans="3:6" ht="15.75" customHeight="1" x14ac:dyDescent="0.3">
      <c r="C544" s="121"/>
      <c r="E544" s="121"/>
      <c r="F544" s="121"/>
    </row>
    <row r="545" spans="3:6" ht="15.75" customHeight="1" x14ac:dyDescent="0.3">
      <c r="C545" s="121"/>
      <c r="E545" s="121"/>
      <c r="F545" s="121"/>
    </row>
    <row r="546" spans="3:6" ht="15.75" customHeight="1" x14ac:dyDescent="0.3">
      <c r="C546" s="121"/>
      <c r="E546" s="121"/>
      <c r="F546" s="121"/>
    </row>
    <row r="547" spans="3:6" ht="15.75" customHeight="1" x14ac:dyDescent="0.3">
      <c r="C547" s="121"/>
      <c r="E547" s="121"/>
      <c r="F547" s="121"/>
    </row>
    <row r="548" spans="3:6" ht="15.75" customHeight="1" x14ac:dyDescent="0.3">
      <c r="C548" s="121"/>
      <c r="E548" s="121"/>
      <c r="F548" s="121"/>
    </row>
    <row r="549" spans="3:6" ht="15.75" customHeight="1" x14ac:dyDescent="0.3">
      <c r="C549" s="121"/>
      <c r="E549" s="121"/>
      <c r="F549" s="121"/>
    </row>
    <row r="550" spans="3:6" ht="15.75" customHeight="1" x14ac:dyDescent="0.3">
      <c r="C550" s="121"/>
      <c r="E550" s="121"/>
      <c r="F550" s="121"/>
    </row>
    <row r="551" spans="3:6" ht="15.75" customHeight="1" x14ac:dyDescent="0.3">
      <c r="C551" s="121"/>
      <c r="E551" s="121"/>
      <c r="F551" s="121"/>
    </row>
    <row r="552" spans="3:6" ht="15.75" customHeight="1" x14ac:dyDescent="0.3">
      <c r="C552" s="121"/>
      <c r="E552" s="121"/>
      <c r="F552" s="121"/>
    </row>
    <row r="553" spans="3:6" ht="15.75" customHeight="1" x14ac:dyDescent="0.3">
      <c r="C553" s="121"/>
      <c r="E553" s="121"/>
      <c r="F553" s="121"/>
    </row>
    <row r="554" spans="3:6" ht="15.75" customHeight="1" x14ac:dyDescent="0.3">
      <c r="C554" s="121"/>
      <c r="E554" s="121"/>
      <c r="F554" s="121"/>
    </row>
    <row r="555" spans="3:6" ht="15.75" customHeight="1" x14ac:dyDescent="0.3">
      <c r="C555" s="121"/>
      <c r="E555" s="121"/>
      <c r="F555" s="121"/>
    </row>
    <row r="556" spans="3:6" ht="15.75" customHeight="1" x14ac:dyDescent="0.3">
      <c r="C556" s="121"/>
      <c r="E556" s="121"/>
      <c r="F556" s="121"/>
    </row>
    <row r="557" spans="3:6" ht="15.75" customHeight="1" x14ac:dyDescent="0.3">
      <c r="C557" s="121"/>
      <c r="E557" s="121"/>
      <c r="F557" s="121"/>
    </row>
    <row r="558" spans="3:6" ht="15.75" customHeight="1" x14ac:dyDescent="0.3">
      <c r="C558" s="121"/>
      <c r="E558" s="121"/>
      <c r="F558" s="121"/>
    </row>
    <row r="559" spans="3:6" ht="15.75" customHeight="1" x14ac:dyDescent="0.3">
      <c r="C559" s="121"/>
      <c r="E559" s="121"/>
      <c r="F559" s="121"/>
    </row>
    <row r="560" spans="3:6" ht="15.75" customHeight="1" x14ac:dyDescent="0.3">
      <c r="C560" s="121"/>
      <c r="E560" s="121"/>
      <c r="F560" s="121"/>
    </row>
    <row r="561" spans="3:6" ht="15.75" customHeight="1" x14ac:dyDescent="0.3">
      <c r="C561" s="121"/>
      <c r="E561" s="121"/>
      <c r="F561" s="121"/>
    </row>
    <row r="562" spans="3:6" ht="15.75" customHeight="1" x14ac:dyDescent="0.3">
      <c r="C562" s="121"/>
      <c r="E562" s="121"/>
      <c r="F562" s="121"/>
    </row>
    <row r="563" spans="3:6" ht="15.75" customHeight="1" x14ac:dyDescent="0.3">
      <c r="C563" s="121"/>
      <c r="E563" s="121"/>
      <c r="F563" s="121"/>
    </row>
    <row r="564" spans="3:6" ht="15.75" customHeight="1" x14ac:dyDescent="0.3">
      <c r="C564" s="121"/>
      <c r="E564" s="121"/>
      <c r="F564" s="121"/>
    </row>
    <row r="565" spans="3:6" ht="15.75" customHeight="1" x14ac:dyDescent="0.3">
      <c r="C565" s="121"/>
      <c r="E565" s="121"/>
      <c r="F565" s="121"/>
    </row>
    <row r="566" spans="3:6" ht="15.75" customHeight="1" x14ac:dyDescent="0.3">
      <c r="C566" s="121"/>
      <c r="E566" s="121"/>
      <c r="F566" s="121"/>
    </row>
    <row r="567" spans="3:6" ht="15.75" customHeight="1" x14ac:dyDescent="0.3">
      <c r="C567" s="121"/>
      <c r="E567" s="121"/>
      <c r="F567" s="121"/>
    </row>
    <row r="568" spans="3:6" ht="15.75" customHeight="1" x14ac:dyDescent="0.3">
      <c r="C568" s="121"/>
      <c r="E568" s="121"/>
      <c r="F568" s="121"/>
    </row>
    <row r="569" spans="3:6" ht="15.75" customHeight="1" x14ac:dyDescent="0.3">
      <c r="C569" s="121"/>
      <c r="E569" s="121"/>
      <c r="F569" s="121"/>
    </row>
    <row r="570" spans="3:6" ht="15.75" customHeight="1" x14ac:dyDescent="0.3">
      <c r="C570" s="121"/>
      <c r="E570" s="121"/>
      <c r="F570" s="121"/>
    </row>
    <row r="571" spans="3:6" ht="15.75" customHeight="1" x14ac:dyDescent="0.3">
      <c r="C571" s="121"/>
      <c r="E571" s="121"/>
      <c r="F571" s="121"/>
    </row>
    <row r="572" spans="3:6" ht="15.75" customHeight="1" x14ac:dyDescent="0.3">
      <c r="C572" s="121"/>
      <c r="E572" s="121"/>
      <c r="F572" s="121"/>
    </row>
    <row r="573" spans="3:6" ht="15.75" customHeight="1" x14ac:dyDescent="0.3">
      <c r="C573" s="121"/>
      <c r="E573" s="121"/>
      <c r="F573" s="121"/>
    </row>
    <row r="574" spans="3:6" ht="15.75" customHeight="1" x14ac:dyDescent="0.3">
      <c r="C574" s="121"/>
      <c r="E574" s="121"/>
      <c r="F574" s="121"/>
    </row>
    <row r="575" spans="3:6" ht="15.75" customHeight="1" x14ac:dyDescent="0.3">
      <c r="C575" s="121"/>
      <c r="E575" s="121"/>
      <c r="F575" s="121"/>
    </row>
    <row r="576" spans="3:6" ht="15.75" customHeight="1" x14ac:dyDescent="0.3">
      <c r="C576" s="121"/>
      <c r="E576" s="121"/>
      <c r="F576" s="121"/>
    </row>
    <row r="577" spans="3:6" ht="15.75" customHeight="1" x14ac:dyDescent="0.3">
      <c r="C577" s="121"/>
      <c r="E577" s="121"/>
      <c r="F577" s="121"/>
    </row>
    <row r="578" spans="3:6" ht="15.75" customHeight="1" x14ac:dyDescent="0.3">
      <c r="C578" s="121"/>
      <c r="E578" s="121"/>
      <c r="F578" s="121"/>
    </row>
    <row r="579" spans="3:6" ht="15.75" customHeight="1" x14ac:dyDescent="0.3">
      <c r="C579" s="121"/>
      <c r="E579" s="121"/>
      <c r="F579" s="121"/>
    </row>
    <row r="580" spans="3:6" ht="15.75" customHeight="1" x14ac:dyDescent="0.3">
      <c r="C580" s="121"/>
      <c r="E580" s="121"/>
      <c r="F580" s="121"/>
    </row>
    <row r="581" spans="3:6" ht="15.75" customHeight="1" x14ac:dyDescent="0.3">
      <c r="C581" s="121"/>
      <c r="E581" s="121"/>
      <c r="F581" s="121"/>
    </row>
    <row r="582" spans="3:6" ht="15.75" customHeight="1" x14ac:dyDescent="0.3">
      <c r="C582" s="121"/>
      <c r="E582" s="121"/>
      <c r="F582" s="121"/>
    </row>
    <row r="583" spans="3:6" ht="15.75" customHeight="1" x14ac:dyDescent="0.3">
      <c r="C583" s="121"/>
      <c r="E583" s="121"/>
      <c r="F583" s="121"/>
    </row>
    <row r="584" spans="3:6" ht="15.75" customHeight="1" x14ac:dyDescent="0.3">
      <c r="C584" s="121"/>
      <c r="E584" s="121"/>
      <c r="F584" s="121"/>
    </row>
    <row r="585" spans="3:6" ht="15.75" customHeight="1" x14ac:dyDescent="0.3">
      <c r="C585" s="121"/>
      <c r="E585" s="121"/>
      <c r="F585" s="121"/>
    </row>
    <row r="586" spans="3:6" ht="15.75" customHeight="1" x14ac:dyDescent="0.3">
      <c r="C586" s="121"/>
      <c r="E586" s="121"/>
      <c r="F586" s="121"/>
    </row>
    <row r="587" spans="3:6" ht="15.75" customHeight="1" x14ac:dyDescent="0.3">
      <c r="C587" s="121"/>
      <c r="E587" s="121"/>
      <c r="F587" s="121"/>
    </row>
    <row r="588" spans="3:6" ht="15.75" customHeight="1" x14ac:dyDescent="0.3">
      <c r="C588" s="121"/>
      <c r="E588" s="121"/>
      <c r="F588" s="121"/>
    </row>
    <row r="589" spans="3:6" ht="15.75" customHeight="1" x14ac:dyDescent="0.3">
      <c r="C589" s="121"/>
      <c r="E589" s="121"/>
      <c r="F589" s="121"/>
    </row>
    <row r="590" spans="3:6" ht="15.75" customHeight="1" x14ac:dyDescent="0.3">
      <c r="C590" s="121"/>
      <c r="E590" s="121"/>
      <c r="F590" s="121"/>
    </row>
    <row r="591" spans="3:6" ht="15.75" customHeight="1" x14ac:dyDescent="0.3">
      <c r="C591" s="121"/>
      <c r="E591" s="121"/>
      <c r="F591" s="121"/>
    </row>
    <row r="592" spans="3:6" ht="15.75" customHeight="1" x14ac:dyDescent="0.3">
      <c r="C592" s="121"/>
      <c r="E592" s="121"/>
      <c r="F592" s="121"/>
    </row>
    <row r="593" spans="3:6" ht="15.75" customHeight="1" x14ac:dyDescent="0.3">
      <c r="C593" s="121"/>
      <c r="E593" s="121"/>
      <c r="F593" s="121"/>
    </row>
    <row r="594" spans="3:6" ht="15.75" customHeight="1" x14ac:dyDescent="0.3">
      <c r="C594" s="121"/>
      <c r="E594" s="121"/>
      <c r="F594" s="121"/>
    </row>
    <row r="595" spans="3:6" ht="15.75" customHeight="1" x14ac:dyDescent="0.3">
      <c r="C595" s="121"/>
      <c r="E595" s="121"/>
      <c r="F595" s="121"/>
    </row>
    <row r="596" spans="3:6" ht="15.75" customHeight="1" x14ac:dyDescent="0.3">
      <c r="C596" s="121"/>
      <c r="E596" s="121"/>
      <c r="F596" s="121"/>
    </row>
    <row r="597" spans="3:6" ht="15.75" customHeight="1" x14ac:dyDescent="0.3">
      <c r="C597" s="121"/>
      <c r="E597" s="121"/>
      <c r="F597" s="121"/>
    </row>
    <row r="598" spans="3:6" ht="15.75" customHeight="1" x14ac:dyDescent="0.3">
      <c r="C598" s="121"/>
      <c r="E598" s="121"/>
      <c r="F598" s="121"/>
    </row>
    <row r="599" spans="3:6" ht="15.75" customHeight="1" x14ac:dyDescent="0.3">
      <c r="C599" s="121"/>
      <c r="E599" s="121"/>
      <c r="F599" s="121"/>
    </row>
    <row r="600" spans="3:6" ht="15.75" customHeight="1" x14ac:dyDescent="0.3">
      <c r="C600" s="121"/>
      <c r="E600" s="121"/>
      <c r="F600" s="121"/>
    </row>
    <row r="601" spans="3:6" ht="15.75" customHeight="1" x14ac:dyDescent="0.3">
      <c r="C601" s="121"/>
      <c r="E601" s="121"/>
      <c r="F601" s="121"/>
    </row>
    <row r="602" spans="3:6" ht="15.75" customHeight="1" x14ac:dyDescent="0.3">
      <c r="C602" s="121"/>
      <c r="E602" s="121"/>
      <c r="F602" s="121"/>
    </row>
    <row r="603" spans="3:6" ht="15.75" customHeight="1" x14ac:dyDescent="0.3">
      <c r="C603" s="121"/>
      <c r="E603" s="121"/>
      <c r="F603" s="121"/>
    </row>
    <row r="604" spans="3:6" ht="15.75" customHeight="1" x14ac:dyDescent="0.3">
      <c r="C604" s="121"/>
      <c r="E604" s="121"/>
      <c r="F604" s="121"/>
    </row>
    <row r="605" spans="3:6" ht="15.75" customHeight="1" x14ac:dyDescent="0.3">
      <c r="C605" s="121"/>
      <c r="E605" s="121"/>
      <c r="F605" s="121"/>
    </row>
    <row r="606" spans="3:6" ht="15.75" customHeight="1" x14ac:dyDescent="0.3">
      <c r="C606" s="121"/>
      <c r="E606" s="121"/>
      <c r="F606" s="121"/>
    </row>
    <row r="607" spans="3:6" ht="15.75" customHeight="1" x14ac:dyDescent="0.3">
      <c r="C607" s="121"/>
      <c r="E607" s="121"/>
      <c r="F607" s="121"/>
    </row>
    <row r="608" spans="3:6" ht="15.75" customHeight="1" x14ac:dyDescent="0.3">
      <c r="C608" s="121"/>
      <c r="E608" s="121"/>
      <c r="F608" s="121"/>
    </row>
    <row r="609" spans="3:6" ht="15.75" customHeight="1" x14ac:dyDescent="0.3">
      <c r="C609" s="121"/>
      <c r="E609" s="121"/>
      <c r="F609" s="121"/>
    </row>
    <row r="610" spans="3:6" ht="15.75" customHeight="1" x14ac:dyDescent="0.3">
      <c r="C610" s="121"/>
      <c r="E610" s="121"/>
      <c r="F610" s="121"/>
    </row>
    <row r="611" spans="3:6" ht="15.75" customHeight="1" x14ac:dyDescent="0.3">
      <c r="C611" s="121"/>
      <c r="E611" s="121"/>
      <c r="F611" s="121"/>
    </row>
    <row r="612" spans="3:6" ht="15.75" customHeight="1" x14ac:dyDescent="0.3">
      <c r="C612" s="121"/>
      <c r="E612" s="121"/>
      <c r="F612" s="121"/>
    </row>
    <row r="613" spans="3:6" ht="15.75" customHeight="1" x14ac:dyDescent="0.3">
      <c r="C613" s="121"/>
      <c r="E613" s="121"/>
      <c r="F613" s="121"/>
    </row>
    <row r="614" spans="3:6" ht="15.75" customHeight="1" x14ac:dyDescent="0.3">
      <c r="C614" s="121"/>
      <c r="E614" s="121"/>
      <c r="F614" s="121"/>
    </row>
    <row r="615" spans="3:6" ht="15.75" customHeight="1" x14ac:dyDescent="0.3">
      <c r="C615" s="121"/>
      <c r="E615" s="121"/>
      <c r="F615" s="121"/>
    </row>
    <row r="616" spans="3:6" ht="15.75" customHeight="1" x14ac:dyDescent="0.3">
      <c r="C616" s="121"/>
      <c r="E616" s="121"/>
      <c r="F616" s="121"/>
    </row>
    <row r="617" spans="3:6" ht="15.75" customHeight="1" x14ac:dyDescent="0.3">
      <c r="C617" s="121"/>
      <c r="E617" s="121"/>
      <c r="F617" s="121"/>
    </row>
    <row r="618" spans="3:6" ht="15.75" customHeight="1" x14ac:dyDescent="0.3">
      <c r="C618" s="121"/>
      <c r="E618" s="121"/>
      <c r="F618" s="121"/>
    </row>
    <row r="619" spans="3:6" ht="15.75" customHeight="1" x14ac:dyDescent="0.3">
      <c r="C619" s="121"/>
      <c r="E619" s="121"/>
      <c r="F619" s="121"/>
    </row>
    <row r="620" spans="3:6" ht="15.75" customHeight="1" x14ac:dyDescent="0.3">
      <c r="C620" s="121"/>
      <c r="E620" s="121"/>
      <c r="F620" s="121"/>
    </row>
    <row r="621" spans="3:6" ht="15.75" customHeight="1" x14ac:dyDescent="0.3">
      <c r="C621" s="121"/>
      <c r="E621" s="121"/>
      <c r="F621" s="121"/>
    </row>
    <row r="622" spans="3:6" ht="15.75" customHeight="1" x14ac:dyDescent="0.3">
      <c r="C622" s="121"/>
      <c r="E622" s="121"/>
      <c r="F622" s="121"/>
    </row>
    <row r="623" spans="3:6" ht="15.75" customHeight="1" x14ac:dyDescent="0.3">
      <c r="C623" s="121"/>
      <c r="E623" s="121"/>
      <c r="F623" s="121"/>
    </row>
    <row r="624" spans="3:6" ht="15.75" customHeight="1" x14ac:dyDescent="0.3">
      <c r="C624" s="121"/>
      <c r="E624" s="121"/>
      <c r="F624" s="121"/>
    </row>
    <row r="625" spans="3:6" ht="15.75" customHeight="1" x14ac:dyDescent="0.3">
      <c r="C625" s="121"/>
      <c r="E625" s="121"/>
      <c r="F625" s="121"/>
    </row>
    <row r="626" spans="3:6" ht="15.75" customHeight="1" x14ac:dyDescent="0.3">
      <c r="C626" s="121"/>
      <c r="E626" s="121"/>
      <c r="F626" s="121"/>
    </row>
    <row r="627" spans="3:6" ht="15.75" customHeight="1" x14ac:dyDescent="0.3">
      <c r="C627" s="121"/>
      <c r="E627" s="121"/>
      <c r="F627" s="121"/>
    </row>
    <row r="628" spans="3:6" ht="15.75" customHeight="1" x14ac:dyDescent="0.3">
      <c r="C628" s="121"/>
      <c r="E628" s="121"/>
      <c r="F628" s="121"/>
    </row>
    <row r="629" spans="3:6" ht="15.75" customHeight="1" x14ac:dyDescent="0.3">
      <c r="C629" s="121"/>
      <c r="E629" s="121"/>
      <c r="F629" s="121"/>
    </row>
    <row r="630" spans="3:6" ht="15.75" customHeight="1" x14ac:dyDescent="0.3">
      <c r="C630" s="121"/>
      <c r="E630" s="121"/>
      <c r="F630" s="121"/>
    </row>
    <row r="631" spans="3:6" ht="15.75" customHeight="1" x14ac:dyDescent="0.3">
      <c r="C631" s="121"/>
      <c r="E631" s="121"/>
      <c r="F631" s="121"/>
    </row>
    <row r="632" spans="3:6" ht="15.75" customHeight="1" x14ac:dyDescent="0.3">
      <c r="C632" s="121"/>
      <c r="E632" s="121"/>
      <c r="F632" s="121"/>
    </row>
    <row r="633" spans="3:6" ht="15.75" customHeight="1" x14ac:dyDescent="0.3">
      <c r="C633" s="121"/>
      <c r="E633" s="121"/>
      <c r="F633" s="121"/>
    </row>
    <row r="634" spans="3:6" ht="15.75" customHeight="1" x14ac:dyDescent="0.3">
      <c r="C634" s="121"/>
      <c r="E634" s="121"/>
      <c r="F634" s="121"/>
    </row>
    <row r="635" spans="3:6" ht="15.75" customHeight="1" x14ac:dyDescent="0.3">
      <c r="C635" s="121"/>
      <c r="E635" s="121"/>
      <c r="F635" s="121"/>
    </row>
    <row r="636" spans="3:6" ht="15.75" customHeight="1" x14ac:dyDescent="0.3">
      <c r="C636" s="121"/>
      <c r="E636" s="121"/>
      <c r="F636" s="121"/>
    </row>
    <row r="637" spans="3:6" ht="15.75" customHeight="1" x14ac:dyDescent="0.3">
      <c r="C637" s="121"/>
      <c r="E637" s="121"/>
      <c r="F637" s="121"/>
    </row>
    <row r="638" spans="3:6" ht="15.75" customHeight="1" x14ac:dyDescent="0.3">
      <c r="C638" s="121"/>
      <c r="E638" s="121"/>
      <c r="F638" s="121"/>
    </row>
    <row r="639" spans="3:6" ht="15.75" customHeight="1" x14ac:dyDescent="0.3">
      <c r="C639" s="121"/>
      <c r="E639" s="121"/>
      <c r="F639" s="121"/>
    </row>
    <row r="640" spans="3:6" ht="15.75" customHeight="1" x14ac:dyDescent="0.3">
      <c r="C640" s="121"/>
      <c r="E640" s="121"/>
      <c r="F640" s="121"/>
    </row>
    <row r="641" spans="3:6" ht="15.75" customHeight="1" x14ac:dyDescent="0.3">
      <c r="C641" s="121"/>
      <c r="E641" s="121"/>
      <c r="F641" s="121"/>
    </row>
    <row r="642" spans="3:6" ht="15.75" customHeight="1" x14ac:dyDescent="0.3">
      <c r="C642" s="121"/>
      <c r="E642" s="121"/>
      <c r="F642" s="121"/>
    </row>
    <row r="643" spans="3:6" ht="15.75" customHeight="1" x14ac:dyDescent="0.3">
      <c r="C643" s="121"/>
      <c r="E643" s="121"/>
      <c r="F643" s="121"/>
    </row>
    <row r="644" spans="3:6" ht="15.75" customHeight="1" x14ac:dyDescent="0.3">
      <c r="C644" s="121"/>
      <c r="E644" s="121"/>
      <c r="F644" s="121"/>
    </row>
    <row r="645" spans="3:6" ht="15.75" customHeight="1" x14ac:dyDescent="0.3">
      <c r="C645" s="121"/>
      <c r="E645" s="121"/>
      <c r="F645" s="121"/>
    </row>
    <row r="646" spans="3:6" ht="15.75" customHeight="1" x14ac:dyDescent="0.3">
      <c r="C646" s="121"/>
      <c r="E646" s="121"/>
      <c r="F646" s="121"/>
    </row>
    <row r="647" spans="3:6" ht="15.75" customHeight="1" x14ac:dyDescent="0.3">
      <c r="C647" s="121"/>
      <c r="E647" s="121"/>
      <c r="F647" s="121"/>
    </row>
    <row r="648" spans="3:6" ht="15.75" customHeight="1" x14ac:dyDescent="0.3">
      <c r="C648" s="121"/>
      <c r="E648" s="121"/>
      <c r="F648" s="121"/>
    </row>
    <row r="649" spans="3:6" ht="15.75" customHeight="1" x14ac:dyDescent="0.3">
      <c r="C649" s="121"/>
      <c r="E649" s="121"/>
      <c r="F649" s="121"/>
    </row>
    <row r="650" spans="3:6" ht="15.75" customHeight="1" x14ac:dyDescent="0.3">
      <c r="C650" s="121"/>
      <c r="E650" s="121"/>
      <c r="F650" s="121"/>
    </row>
    <row r="651" spans="3:6" ht="15.75" customHeight="1" x14ac:dyDescent="0.3">
      <c r="C651" s="121"/>
      <c r="E651" s="121"/>
      <c r="F651" s="121"/>
    </row>
    <row r="652" spans="3:6" ht="15.75" customHeight="1" x14ac:dyDescent="0.3">
      <c r="C652" s="121"/>
      <c r="E652" s="121"/>
      <c r="F652" s="121"/>
    </row>
    <row r="653" spans="3:6" ht="15.75" customHeight="1" x14ac:dyDescent="0.3">
      <c r="C653" s="121"/>
      <c r="E653" s="121"/>
      <c r="F653" s="121"/>
    </row>
    <row r="654" spans="3:6" ht="15.75" customHeight="1" x14ac:dyDescent="0.3">
      <c r="C654" s="121"/>
      <c r="E654" s="121"/>
      <c r="F654" s="121"/>
    </row>
    <row r="655" spans="3:6" ht="15.75" customHeight="1" x14ac:dyDescent="0.3">
      <c r="C655" s="121"/>
      <c r="E655" s="121"/>
      <c r="F655" s="121"/>
    </row>
    <row r="656" spans="3:6" ht="15.75" customHeight="1" x14ac:dyDescent="0.3">
      <c r="C656" s="121"/>
      <c r="E656" s="121"/>
      <c r="F656" s="121"/>
    </row>
    <row r="657" spans="3:6" ht="15.75" customHeight="1" x14ac:dyDescent="0.3">
      <c r="C657" s="121"/>
      <c r="E657" s="121"/>
      <c r="F657" s="121"/>
    </row>
    <row r="658" spans="3:6" ht="15.75" customHeight="1" x14ac:dyDescent="0.3">
      <c r="C658" s="121"/>
      <c r="E658" s="121"/>
      <c r="F658" s="121"/>
    </row>
    <row r="659" spans="3:6" ht="15.75" customHeight="1" x14ac:dyDescent="0.3">
      <c r="C659" s="121"/>
      <c r="E659" s="121"/>
      <c r="F659" s="121"/>
    </row>
    <row r="660" spans="3:6" ht="15.75" customHeight="1" x14ac:dyDescent="0.3">
      <c r="C660" s="121"/>
      <c r="E660" s="121"/>
      <c r="F660" s="121"/>
    </row>
    <row r="661" spans="3:6" ht="15.75" customHeight="1" x14ac:dyDescent="0.3">
      <c r="C661" s="121"/>
      <c r="E661" s="121"/>
      <c r="F661" s="121"/>
    </row>
    <row r="662" spans="3:6" ht="15.75" customHeight="1" x14ac:dyDescent="0.3">
      <c r="C662" s="121"/>
      <c r="E662" s="121"/>
      <c r="F662" s="121"/>
    </row>
    <row r="663" spans="3:6" ht="15.75" customHeight="1" x14ac:dyDescent="0.3">
      <c r="C663" s="121"/>
      <c r="E663" s="121"/>
      <c r="F663" s="121"/>
    </row>
    <row r="664" spans="3:6" ht="15.75" customHeight="1" x14ac:dyDescent="0.3">
      <c r="C664" s="121"/>
      <c r="E664" s="121"/>
      <c r="F664" s="121"/>
    </row>
    <row r="665" spans="3:6" ht="15.75" customHeight="1" x14ac:dyDescent="0.3">
      <c r="C665" s="121"/>
      <c r="E665" s="121"/>
      <c r="F665" s="121"/>
    </row>
    <row r="666" spans="3:6" ht="15.75" customHeight="1" x14ac:dyDescent="0.3">
      <c r="C666" s="121"/>
      <c r="E666" s="121"/>
      <c r="F666" s="121"/>
    </row>
    <row r="667" spans="3:6" ht="15.75" customHeight="1" x14ac:dyDescent="0.3">
      <c r="C667" s="121"/>
      <c r="E667" s="121"/>
      <c r="F667" s="121"/>
    </row>
    <row r="668" spans="3:6" ht="15.75" customHeight="1" x14ac:dyDescent="0.3">
      <c r="C668" s="121"/>
      <c r="E668" s="121"/>
      <c r="F668" s="121"/>
    </row>
    <row r="669" spans="3:6" ht="15.75" customHeight="1" x14ac:dyDescent="0.3">
      <c r="C669" s="121"/>
      <c r="E669" s="121"/>
      <c r="F669" s="121"/>
    </row>
    <row r="670" spans="3:6" ht="15.75" customHeight="1" x14ac:dyDescent="0.3">
      <c r="C670" s="121"/>
      <c r="E670" s="121"/>
      <c r="F670" s="121"/>
    </row>
    <row r="671" spans="3:6" ht="15.75" customHeight="1" x14ac:dyDescent="0.3">
      <c r="C671" s="121"/>
      <c r="E671" s="121"/>
      <c r="F671" s="121"/>
    </row>
    <row r="672" spans="3:6" ht="15.75" customHeight="1" x14ac:dyDescent="0.3">
      <c r="C672" s="121"/>
      <c r="E672" s="121"/>
      <c r="F672" s="121"/>
    </row>
    <row r="673" spans="3:6" ht="15.75" customHeight="1" x14ac:dyDescent="0.3">
      <c r="C673" s="121"/>
      <c r="E673" s="121"/>
      <c r="F673" s="121"/>
    </row>
    <row r="674" spans="3:6" ht="15.75" customHeight="1" x14ac:dyDescent="0.3">
      <c r="C674" s="121"/>
      <c r="E674" s="121"/>
      <c r="F674" s="121"/>
    </row>
    <row r="675" spans="3:6" ht="15.75" customHeight="1" x14ac:dyDescent="0.3">
      <c r="C675" s="121"/>
      <c r="E675" s="121"/>
      <c r="F675" s="121"/>
    </row>
    <row r="676" spans="3:6" ht="15.75" customHeight="1" x14ac:dyDescent="0.3">
      <c r="C676" s="121"/>
      <c r="E676" s="121"/>
      <c r="F676" s="121"/>
    </row>
    <row r="677" spans="3:6" ht="15.75" customHeight="1" x14ac:dyDescent="0.3">
      <c r="C677" s="121"/>
      <c r="E677" s="121"/>
      <c r="F677" s="121"/>
    </row>
    <row r="678" spans="3:6" ht="15.75" customHeight="1" x14ac:dyDescent="0.3">
      <c r="C678" s="121"/>
      <c r="E678" s="121"/>
      <c r="F678" s="121"/>
    </row>
    <row r="679" spans="3:6" ht="15.75" customHeight="1" x14ac:dyDescent="0.3">
      <c r="C679" s="121"/>
      <c r="E679" s="121"/>
      <c r="F679" s="121"/>
    </row>
    <row r="680" spans="3:6" ht="15.75" customHeight="1" x14ac:dyDescent="0.3">
      <c r="C680" s="121"/>
      <c r="E680" s="121"/>
      <c r="F680" s="121"/>
    </row>
    <row r="681" spans="3:6" ht="15.75" customHeight="1" x14ac:dyDescent="0.3">
      <c r="C681" s="121"/>
      <c r="E681" s="121"/>
      <c r="F681" s="121"/>
    </row>
    <row r="682" spans="3:6" ht="15.75" customHeight="1" x14ac:dyDescent="0.3">
      <c r="C682" s="121"/>
      <c r="E682" s="121"/>
      <c r="F682" s="121"/>
    </row>
    <row r="683" spans="3:6" ht="15.75" customHeight="1" x14ac:dyDescent="0.3">
      <c r="C683" s="121"/>
      <c r="E683" s="121"/>
      <c r="F683" s="121"/>
    </row>
    <row r="684" spans="3:6" ht="15.75" customHeight="1" x14ac:dyDescent="0.3">
      <c r="C684" s="121"/>
      <c r="E684" s="121"/>
      <c r="F684" s="121"/>
    </row>
    <row r="685" spans="3:6" ht="15.75" customHeight="1" x14ac:dyDescent="0.3">
      <c r="C685" s="121"/>
      <c r="E685" s="121"/>
      <c r="F685" s="121"/>
    </row>
    <row r="686" spans="3:6" ht="15.75" customHeight="1" x14ac:dyDescent="0.3">
      <c r="C686" s="121"/>
      <c r="E686" s="121"/>
      <c r="F686" s="121"/>
    </row>
    <row r="687" spans="3:6" ht="15.75" customHeight="1" x14ac:dyDescent="0.3">
      <c r="C687" s="121"/>
      <c r="E687" s="121"/>
      <c r="F687" s="121"/>
    </row>
    <row r="688" spans="3:6" ht="15.75" customHeight="1" x14ac:dyDescent="0.3">
      <c r="C688" s="121"/>
      <c r="E688" s="121"/>
      <c r="F688" s="121"/>
    </row>
    <row r="689" spans="3:6" ht="15.75" customHeight="1" x14ac:dyDescent="0.3">
      <c r="C689" s="121"/>
      <c r="E689" s="121"/>
      <c r="F689" s="121"/>
    </row>
    <row r="690" spans="3:6" ht="15.75" customHeight="1" x14ac:dyDescent="0.3">
      <c r="C690" s="121"/>
      <c r="E690" s="121"/>
      <c r="F690" s="121"/>
    </row>
    <row r="691" spans="3:6" ht="15.75" customHeight="1" x14ac:dyDescent="0.3">
      <c r="C691" s="121"/>
      <c r="E691" s="121"/>
      <c r="F691" s="121"/>
    </row>
    <row r="692" spans="3:6" ht="15.75" customHeight="1" x14ac:dyDescent="0.3">
      <c r="C692" s="121"/>
      <c r="E692" s="121"/>
      <c r="F692" s="121"/>
    </row>
    <row r="693" spans="3:6" ht="15.75" customHeight="1" x14ac:dyDescent="0.3">
      <c r="C693" s="121"/>
      <c r="E693" s="121"/>
      <c r="F693" s="121"/>
    </row>
    <row r="694" spans="3:6" ht="15.75" customHeight="1" x14ac:dyDescent="0.3">
      <c r="C694" s="121"/>
      <c r="E694" s="121"/>
      <c r="F694" s="121"/>
    </row>
    <row r="695" spans="3:6" ht="15.75" customHeight="1" x14ac:dyDescent="0.3">
      <c r="C695" s="121"/>
      <c r="E695" s="121"/>
      <c r="F695" s="121"/>
    </row>
    <row r="696" spans="3:6" ht="15.75" customHeight="1" x14ac:dyDescent="0.3">
      <c r="C696" s="121"/>
      <c r="E696" s="121"/>
      <c r="F696" s="121"/>
    </row>
    <row r="697" spans="3:6" ht="15.75" customHeight="1" x14ac:dyDescent="0.3">
      <c r="C697" s="121"/>
      <c r="E697" s="121"/>
      <c r="F697" s="121"/>
    </row>
    <row r="698" spans="3:6" ht="15.75" customHeight="1" x14ac:dyDescent="0.3">
      <c r="C698" s="121"/>
      <c r="E698" s="121"/>
      <c r="F698" s="121"/>
    </row>
    <row r="699" spans="3:6" ht="15.75" customHeight="1" x14ac:dyDescent="0.3">
      <c r="C699" s="121"/>
      <c r="E699" s="121"/>
      <c r="F699" s="121"/>
    </row>
    <row r="700" spans="3:6" ht="15.75" customHeight="1" x14ac:dyDescent="0.3">
      <c r="C700" s="121"/>
      <c r="E700" s="121"/>
      <c r="F700" s="121"/>
    </row>
    <row r="701" spans="3:6" ht="15.75" customHeight="1" x14ac:dyDescent="0.3">
      <c r="C701" s="121"/>
      <c r="E701" s="121"/>
      <c r="F701" s="121"/>
    </row>
    <row r="702" spans="3:6" ht="15.75" customHeight="1" x14ac:dyDescent="0.3">
      <c r="C702" s="121"/>
      <c r="E702" s="121"/>
      <c r="F702" s="121"/>
    </row>
    <row r="703" spans="3:6" ht="15.75" customHeight="1" x14ac:dyDescent="0.3">
      <c r="C703" s="121"/>
      <c r="E703" s="121"/>
      <c r="F703" s="121"/>
    </row>
    <row r="704" spans="3:6" ht="15.75" customHeight="1" x14ac:dyDescent="0.3">
      <c r="C704" s="121"/>
      <c r="E704" s="121"/>
      <c r="F704" s="121"/>
    </row>
    <row r="705" spans="3:6" ht="15.75" customHeight="1" x14ac:dyDescent="0.3">
      <c r="C705" s="121"/>
      <c r="E705" s="121"/>
      <c r="F705" s="121"/>
    </row>
    <row r="706" spans="3:6" ht="15.75" customHeight="1" x14ac:dyDescent="0.3">
      <c r="C706" s="121"/>
      <c r="E706" s="121"/>
      <c r="F706" s="121"/>
    </row>
    <row r="707" spans="3:6" ht="15.75" customHeight="1" x14ac:dyDescent="0.3">
      <c r="C707" s="121"/>
      <c r="E707" s="121"/>
      <c r="F707" s="121"/>
    </row>
    <row r="708" spans="3:6" ht="15.75" customHeight="1" x14ac:dyDescent="0.3">
      <c r="C708" s="121"/>
      <c r="E708" s="121"/>
      <c r="F708" s="121"/>
    </row>
    <row r="709" spans="3:6" ht="15.75" customHeight="1" x14ac:dyDescent="0.3">
      <c r="C709" s="121"/>
      <c r="E709" s="121"/>
      <c r="F709" s="121"/>
    </row>
    <row r="710" spans="3:6" ht="15.75" customHeight="1" x14ac:dyDescent="0.3">
      <c r="C710" s="121"/>
      <c r="E710" s="121"/>
      <c r="F710" s="121"/>
    </row>
    <row r="711" spans="3:6" ht="15.75" customHeight="1" x14ac:dyDescent="0.3">
      <c r="C711" s="121"/>
      <c r="E711" s="121"/>
      <c r="F711" s="121"/>
    </row>
    <row r="712" spans="3:6" ht="15.75" customHeight="1" x14ac:dyDescent="0.3">
      <c r="C712" s="121"/>
      <c r="E712" s="121"/>
      <c r="F712" s="121"/>
    </row>
    <row r="713" spans="3:6" ht="15.75" customHeight="1" x14ac:dyDescent="0.3">
      <c r="C713" s="121"/>
      <c r="E713" s="121"/>
      <c r="F713" s="121"/>
    </row>
    <row r="714" spans="3:6" ht="15.75" customHeight="1" x14ac:dyDescent="0.3">
      <c r="C714" s="121"/>
      <c r="E714" s="121"/>
      <c r="F714" s="121"/>
    </row>
    <row r="715" spans="3:6" ht="15.75" customHeight="1" x14ac:dyDescent="0.3">
      <c r="C715" s="121"/>
      <c r="E715" s="121"/>
      <c r="F715" s="121"/>
    </row>
    <row r="716" spans="3:6" ht="15.75" customHeight="1" x14ac:dyDescent="0.3">
      <c r="C716" s="121"/>
      <c r="E716" s="121"/>
      <c r="F716" s="121"/>
    </row>
    <row r="717" spans="3:6" ht="15.75" customHeight="1" x14ac:dyDescent="0.3">
      <c r="C717" s="121"/>
      <c r="E717" s="121"/>
      <c r="F717" s="121"/>
    </row>
    <row r="718" spans="3:6" ht="15.75" customHeight="1" x14ac:dyDescent="0.3">
      <c r="C718" s="121"/>
      <c r="E718" s="121"/>
      <c r="F718" s="121"/>
    </row>
    <row r="719" spans="3:6" ht="15.75" customHeight="1" x14ac:dyDescent="0.3">
      <c r="C719" s="121"/>
      <c r="E719" s="121"/>
      <c r="F719" s="121"/>
    </row>
    <row r="720" spans="3:6" ht="15.75" customHeight="1" x14ac:dyDescent="0.3">
      <c r="C720" s="121"/>
      <c r="E720" s="121"/>
      <c r="F720" s="121"/>
    </row>
    <row r="721" spans="3:6" ht="15.75" customHeight="1" x14ac:dyDescent="0.3">
      <c r="C721" s="121"/>
      <c r="E721" s="121"/>
      <c r="F721" s="121"/>
    </row>
    <row r="722" spans="3:6" ht="15.75" customHeight="1" x14ac:dyDescent="0.3">
      <c r="C722" s="121"/>
      <c r="E722" s="121"/>
      <c r="F722" s="121"/>
    </row>
    <row r="723" spans="3:6" ht="15.75" customHeight="1" x14ac:dyDescent="0.3">
      <c r="C723" s="121"/>
      <c r="E723" s="121"/>
      <c r="F723" s="121"/>
    </row>
    <row r="724" spans="3:6" ht="15.75" customHeight="1" x14ac:dyDescent="0.3">
      <c r="C724" s="121"/>
      <c r="E724" s="121"/>
      <c r="F724" s="121"/>
    </row>
    <row r="725" spans="3:6" ht="15.75" customHeight="1" x14ac:dyDescent="0.3">
      <c r="C725" s="121"/>
      <c r="E725" s="121"/>
      <c r="F725" s="121"/>
    </row>
    <row r="726" spans="3:6" ht="15.75" customHeight="1" x14ac:dyDescent="0.3">
      <c r="C726" s="121"/>
      <c r="E726" s="121"/>
      <c r="F726" s="121"/>
    </row>
    <row r="727" spans="3:6" ht="15.75" customHeight="1" x14ac:dyDescent="0.3">
      <c r="C727" s="121"/>
      <c r="E727" s="121"/>
      <c r="F727" s="121"/>
    </row>
    <row r="728" spans="3:6" ht="15.75" customHeight="1" x14ac:dyDescent="0.3">
      <c r="C728" s="121"/>
      <c r="E728" s="121"/>
      <c r="F728" s="121"/>
    </row>
    <row r="729" spans="3:6" ht="15.75" customHeight="1" x14ac:dyDescent="0.3">
      <c r="C729" s="121"/>
      <c r="E729" s="121"/>
      <c r="F729" s="121"/>
    </row>
    <row r="730" spans="3:6" ht="15.75" customHeight="1" x14ac:dyDescent="0.3">
      <c r="C730" s="121"/>
      <c r="E730" s="121"/>
      <c r="F730" s="121"/>
    </row>
    <row r="731" spans="3:6" ht="15.75" customHeight="1" x14ac:dyDescent="0.3">
      <c r="C731" s="121"/>
      <c r="E731" s="121"/>
      <c r="F731" s="121"/>
    </row>
    <row r="732" spans="3:6" ht="15.75" customHeight="1" x14ac:dyDescent="0.3">
      <c r="C732" s="121"/>
      <c r="E732" s="121"/>
      <c r="F732" s="121"/>
    </row>
    <row r="733" spans="3:6" ht="15.75" customHeight="1" x14ac:dyDescent="0.3">
      <c r="C733" s="121"/>
      <c r="E733" s="121"/>
      <c r="F733" s="121"/>
    </row>
    <row r="734" spans="3:6" ht="15.75" customHeight="1" x14ac:dyDescent="0.3">
      <c r="C734" s="121"/>
      <c r="E734" s="121"/>
      <c r="F734" s="121"/>
    </row>
    <row r="735" spans="3:6" ht="15.75" customHeight="1" x14ac:dyDescent="0.3">
      <c r="C735" s="121"/>
      <c r="E735" s="121"/>
      <c r="F735" s="121"/>
    </row>
    <row r="736" spans="3:6" ht="15.75" customHeight="1" x14ac:dyDescent="0.3">
      <c r="C736" s="121"/>
      <c r="E736" s="121"/>
      <c r="F736" s="121"/>
    </row>
    <row r="737" spans="3:6" ht="15.75" customHeight="1" x14ac:dyDescent="0.3">
      <c r="C737" s="121"/>
      <c r="E737" s="121"/>
      <c r="F737" s="121"/>
    </row>
    <row r="738" spans="3:6" ht="15.75" customHeight="1" x14ac:dyDescent="0.3">
      <c r="C738" s="121"/>
      <c r="E738" s="121"/>
      <c r="F738" s="121"/>
    </row>
    <row r="739" spans="3:6" ht="15.75" customHeight="1" x14ac:dyDescent="0.3">
      <c r="C739" s="121"/>
      <c r="E739" s="121"/>
      <c r="F739" s="121"/>
    </row>
    <row r="740" spans="3:6" ht="15.75" customHeight="1" x14ac:dyDescent="0.3">
      <c r="C740" s="121"/>
      <c r="E740" s="121"/>
      <c r="F740" s="121"/>
    </row>
    <row r="741" spans="3:6" ht="15.75" customHeight="1" x14ac:dyDescent="0.3">
      <c r="C741" s="121"/>
      <c r="E741" s="121"/>
      <c r="F741" s="121"/>
    </row>
    <row r="742" spans="3:6" ht="15.75" customHeight="1" x14ac:dyDescent="0.3">
      <c r="C742" s="121"/>
      <c r="E742" s="121"/>
      <c r="F742" s="121"/>
    </row>
    <row r="743" spans="3:6" ht="15.75" customHeight="1" x14ac:dyDescent="0.3">
      <c r="C743" s="121"/>
      <c r="E743" s="121"/>
      <c r="F743" s="121"/>
    </row>
    <row r="744" spans="3:6" ht="15.75" customHeight="1" x14ac:dyDescent="0.3">
      <c r="C744" s="121"/>
      <c r="E744" s="121"/>
      <c r="F744" s="121"/>
    </row>
    <row r="745" spans="3:6" ht="15.75" customHeight="1" x14ac:dyDescent="0.3">
      <c r="C745" s="121"/>
      <c r="E745" s="121"/>
      <c r="F745" s="121"/>
    </row>
    <row r="746" spans="3:6" ht="15.75" customHeight="1" x14ac:dyDescent="0.3">
      <c r="C746" s="121"/>
      <c r="E746" s="121"/>
      <c r="F746" s="121"/>
    </row>
    <row r="747" spans="3:6" ht="15.75" customHeight="1" x14ac:dyDescent="0.3">
      <c r="C747" s="121"/>
      <c r="E747" s="121"/>
      <c r="F747" s="121"/>
    </row>
    <row r="748" spans="3:6" ht="15.75" customHeight="1" x14ac:dyDescent="0.3">
      <c r="C748" s="121"/>
      <c r="E748" s="121"/>
      <c r="F748" s="121"/>
    </row>
    <row r="749" spans="3:6" ht="15.75" customHeight="1" x14ac:dyDescent="0.3">
      <c r="C749" s="121"/>
      <c r="E749" s="121"/>
      <c r="F749" s="121"/>
    </row>
    <row r="750" spans="3:6" ht="15.75" customHeight="1" x14ac:dyDescent="0.3">
      <c r="C750" s="121"/>
      <c r="E750" s="121"/>
      <c r="F750" s="121"/>
    </row>
    <row r="751" spans="3:6" ht="15.75" customHeight="1" x14ac:dyDescent="0.3">
      <c r="C751" s="121"/>
      <c r="E751" s="121"/>
      <c r="F751" s="121"/>
    </row>
    <row r="752" spans="3:6" ht="15.75" customHeight="1" x14ac:dyDescent="0.3">
      <c r="C752" s="121"/>
      <c r="E752" s="121"/>
      <c r="F752" s="121"/>
    </row>
    <row r="753" spans="3:6" ht="15.75" customHeight="1" x14ac:dyDescent="0.3">
      <c r="C753" s="121"/>
      <c r="E753" s="121"/>
      <c r="F753" s="121"/>
    </row>
    <row r="754" spans="3:6" ht="15.75" customHeight="1" x14ac:dyDescent="0.3">
      <c r="C754" s="121"/>
      <c r="E754" s="121"/>
      <c r="F754" s="121"/>
    </row>
    <row r="755" spans="3:6" ht="15.75" customHeight="1" x14ac:dyDescent="0.3">
      <c r="C755" s="121"/>
      <c r="E755" s="121"/>
      <c r="F755" s="121"/>
    </row>
    <row r="756" spans="3:6" ht="15.75" customHeight="1" x14ac:dyDescent="0.3">
      <c r="C756" s="121"/>
      <c r="E756" s="121"/>
      <c r="F756" s="121"/>
    </row>
    <row r="757" spans="3:6" ht="15.75" customHeight="1" x14ac:dyDescent="0.3">
      <c r="C757" s="121"/>
      <c r="E757" s="121"/>
      <c r="F757" s="121"/>
    </row>
    <row r="758" spans="3:6" ht="15.75" customHeight="1" x14ac:dyDescent="0.3">
      <c r="C758" s="121"/>
      <c r="E758" s="121"/>
      <c r="F758" s="121"/>
    </row>
    <row r="759" spans="3:6" ht="15.75" customHeight="1" x14ac:dyDescent="0.3">
      <c r="C759" s="121"/>
      <c r="E759" s="121"/>
      <c r="F759" s="121"/>
    </row>
    <row r="760" spans="3:6" ht="15.75" customHeight="1" x14ac:dyDescent="0.3">
      <c r="C760" s="121"/>
      <c r="E760" s="121"/>
      <c r="F760" s="121"/>
    </row>
    <row r="761" spans="3:6" ht="15.75" customHeight="1" x14ac:dyDescent="0.3">
      <c r="C761" s="121"/>
      <c r="E761" s="121"/>
      <c r="F761" s="121"/>
    </row>
    <row r="762" spans="3:6" ht="15.75" customHeight="1" x14ac:dyDescent="0.3">
      <c r="C762" s="121"/>
      <c r="E762" s="121"/>
      <c r="F762" s="121"/>
    </row>
    <row r="763" spans="3:6" ht="15.75" customHeight="1" x14ac:dyDescent="0.3">
      <c r="C763" s="121"/>
      <c r="E763" s="121"/>
      <c r="F763" s="121"/>
    </row>
    <row r="764" spans="3:6" ht="15.75" customHeight="1" x14ac:dyDescent="0.3">
      <c r="C764" s="121"/>
      <c r="E764" s="121"/>
      <c r="F764" s="121"/>
    </row>
    <row r="765" spans="3:6" ht="15.75" customHeight="1" x14ac:dyDescent="0.3">
      <c r="C765" s="121"/>
      <c r="E765" s="121"/>
      <c r="F765" s="121"/>
    </row>
    <row r="766" spans="3:6" ht="15.75" customHeight="1" x14ac:dyDescent="0.3">
      <c r="C766" s="121"/>
      <c r="E766" s="121"/>
      <c r="F766" s="121"/>
    </row>
    <row r="767" spans="3:6" ht="15.75" customHeight="1" x14ac:dyDescent="0.3">
      <c r="C767" s="121"/>
      <c r="E767" s="121"/>
      <c r="F767" s="121"/>
    </row>
    <row r="768" spans="3:6" ht="15.75" customHeight="1" x14ac:dyDescent="0.3">
      <c r="C768" s="121"/>
      <c r="E768" s="121"/>
      <c r="F768" s="121"/>
    </row>
    <row r="769" spans="3:6" ht="15.75" customHeight="1" x14ac:dyDescent="0.3">
      <c r="C769" s="121"/>
      <c r="E769" s="121"/>
      <c r="F769" s="121"/>
    </row>
    <row r="770" spans="3:6" ht="15.75" customHeight="1" x14ac:dyDescent="0.3">
      <c r="C770" s="121"/>
      <c r="E770" s="121"/>
      <c r="F770" s="121"/>
    </row>
    <row r="771" spans="3:6" ht="15.75" customHeight="1" x14ac:dyDescent="0.3">
      <c r="C771" s="121"/>
      <c r="E771" s="121"/>
      <c r="F771" s="121"/>
    </row>
    <row r="772" spans="3:6" ht="15.75" customHeight="1" x14ac:dyDescent="0.3">
      <c r="C772" s="121"/>
      <c r="E772" s="121"/>
      <c r="F772" s="121"/>
    </row>
    <row r="773" spans="3:6" ht="15.75" customHeight="1" x14ac:dyDescent="0.3">
      <c r="C773" s="121"/>
      <c r="E773" s="121"/>
      <c r="F773" s="121"/>
    </row>
    <row r="774" spans="3:6" ht="15.75" customHeight="1" x14ac:dyDescent="0.3">
      <c r="C774" s="121"/>
      <c r="E774" s="121"/>
      <c r="F774" s="121"/>
    </row>
    <row r="775" spans="3:6" ht="15.75" customHeight="1" x14ac:dyDescent="0.3">
      <c r="C775" s="121"/>
      <c r="E775" s="121"/>
      <c r="F775" s="121"/>
    </row>
    <row r="776" spans="3:6" ht="15.75" customHeight="1" x14ac:dyDescent="0.3">
      <c r="C776" s="121"/>
      <c r="E776" s="121"/>
      <c r="F776" s="121"/>
    </row>
    <row r="777" spans="3:6" ht="15.75" customHeight="1" x14ac:dyDescent="0.3">
      <c r="C777" s="121"/>
      <c r="E777" s="121"/>
      <c r="F777" s="121"/>
    </row>
    <row r="778" spans="3:6" ht="15.75" customHeight="1" x14ac:dyDescent="0.3">
      <c r="C778" s="121"/>
      <c r="E778" s="121"/>
      <c r="F778" s="121"/>
    </row>
    <row r="779" spans="3:6" ht="15.75" customHeight="1" x14ac:dyDescent="0.3">
      <c r="C779" s="121"/>
      <c r="E779" s="121"/>
      <c r="F779" s="121"/>
    </row>
    <row r="780" spans="3:6" ht="15.75" customHeight="1" x14ac:dyDescent="0.3">
      <c r="C780" s="121"/>
      <c r="E780" s="121"/>
      <c r="F780" s="121"/>
    </row>
    <row r="781" spans="3:6" ht="15.75" customHeight="1" x14ac:dyDescent="0.3">
      <c r="C781" s="121"/>
      <c r="E781" s="121"/>
      <c r="F781" s="121"/>
    </row>
    <row r="782" spans="3:6" ht="15.75" customHeight="1" x14ac:dyDescent="0.3">
      <c r="C782" s="121"/>
      <c r="E782" s="121"/>
      <c r="F782" s="121"/>
    </row>
    <row r="783" spans="3:6" ht="15.75" customHeight="1" x14ac:dyDescent="0.3">
      <c r="C783" s="121"/>
      <c r="E783" s="121"/>
      <c r="F783" s="121"/>
    </row>
    <row r="784" spans="3:6" ht="15.75" customHeight="1" x14ac:dyDescent="0.3">
      <c r="C784" s="121"/>
      <c r="E784" s="121"/>
      <c r="F784" s="121"/>
    </row>
    <row r="785" spans="3:6" ht="15.75" customHeight="1" x14ac:dyDescent="0.3">
      <c r="C785" s="121"/>
      <c r="E785" s="121"/>
      <c r="F785" s="121"/>
    </row>
    <row r="786" spans="3:6" ht="15.75" customHeight="1" x14ac:dyDescent="0.3">
      <c r="C786" s="121"/>
      <c r="E786" s="121"/>
      <c r="F786" s="121"/>
    </row>
    <row r="787" spans="3:6" ht="15.75" customHeight="1" x14ac:dyDescent="0.3">
      <c r="C787" s="121"/>
      <c r="E787" s="121"/>
      <c r="F787" s="121"/>
    </row>
    <row r="788" spans="3:6" ht="15.75" customHeight="1" x14ac:dyDescent="0.3">
      <c r="C788" s="121"/>
      <c r="E788" s="121"/>
      <c r="F788" s="121"/>
    </row>
    <row r="789" spans="3:6" ht="15.75" customHeight="1" x14ac:dyDescent="0.3">
      <c r="C789" s="121"/>
      <c r="E789" s="121"/>
      <c r="F789" s="121"/>
    </row>
    <row r="790" spans="3:6" ht="15.75" customHeight="1" x14ac:dyDescent="0.3">
      <c r="C790" s="121"/>
      <c r="E790" s="121"/>
      <c r="F790" s="121"/>
    </row>
    <row r="791" spans="3:6" ht="15.75" customHeight="1" x14ac:dyDescent="0.3">
      <c r="C791" s="121"/>
      <c r="E791" s="121"/>
      <c r="F791" s="121"/>
    </row>
    <row r="792" spans="3:6" ht="15.75" customHeight="1" x14ac:dyDescent="0.3">
      <c r="C792" s="121"/>
      <c r="E792" s="121"/>
      <c r="F792" s="121"/>
    </row>
    <row r="793" spans="3:6" ht="15.75" customHeight="1" x14ac:dyDescent="0.3">
      <c r="C793" s="121"/>
      <c r="E793" s="121"/>
      <c r="F793" s="121"/>
    </row>
    <row r="794" spans="3:6" ht="15.75" customHeight="1" x14ac:dyDescent="0.3">
      <c r="C794" s="121"/>
      <c r="E794" s="121"/>
      <c r="F794" s="121"/>
    </row>
    <row r="795" spans="3:6" ht="15.75" customHeight="1" x14ac:dyDescent="0.3">
      <c r="C795" s="121"/>
      <c r="E795" s="121"/>
      <c r="F795" s="121"/>
    </row>
    <row r="796" spans="3:6" ht="15.75" customHeight="1" x14ac:dyDescent="0.3">
      <c r="C796" s="121"/>
      <c r="E796" s="121"/>
      <c r="F796" s="121"/>
    </row>
    <row r="797" spans="3:6" ht="15.75" customHeight="1" x14ac:dyDescent="0.3">
      <c r="C797" s="121"/>
      <c r="E797" s="121"/>
      <c r="F797" s="121"/>
    </row>
    <row r="798" spans="3:6" ht="15.75" customHeight="1" x14ac:dyDescent="0.3">
      <c r="C798" s="121"/>
      <c r="E798" s="121"/>
      <c r="F798" s="121"/>
    </row>
    <row r="799" spans="3:6" ht="15.75" customHeight="1" x14ac:dyDescent="0.3">
      <c r="C799" s="121"/>
      <c r="E799" s="121"/>
      <c r="F799" s="121"/>
    </row>
    <row r="800" spans="3:6" ht="15.75" customHeight="1" x14ac:dyDescent="0.3">
      <c r="C800" s="121"/>
      <c r="E800" s="121"/>
      <c r="F800" s="121"/>
    </row>
    <row r="801" spans="3:6" ht="15.75" customHeight="1" x14ac:dyDescent="0.3">
      <c r="C801" s="121"/>
      <c r="E801" s="121"/>
      <c r="F801" s="121"/>
    </row>
    <row r="802" spans="3:6" ht="15.75" customHeight="1" x14ac:dyDescent="0.3">
      <c r="C802" s="121"/>
      <c r="E802" s="121"/>
      <c r="F802" s="121"/>
    </row>
    <row r="803" spans="3:6" ht="15.75" customHeight="1" x14ac:dyDescent="0.3">
      <c r="C803" s="121"/>
      <c r="E803" s="121"/>
      <c r="F803" s="121"/>
    </row>
    <row r="804" spans="3:6" ht="15.75" customHeight="1" x14ac:dyDescent="0.3">
      <c r="C804" s="121"/>
      <c r="E804" s="121"/>
      <c r="F804" s="121"/>
    </row>
    <row r="805" spans="3:6" ht="15.75" customHeight="1" x14ac:dyDescent="0.3">
      <c r="C805" s="121"/>
      <c r="E805" s="121"/>
      <c r="F805" s="121"/>
    </row>
    <row r="806" spans="3:6" ht="15.75" customHeight="1" x14ac:dyDescent="0.3">
      <c r="C806" s="121"/>
      <c r="E806" s="121"/>
      <c r="F806" s="121"/>
    </row>
    <row r="807" spans="3:6" ht="15.75" customHeight="1" x14ac:dyDescent="0.3">
      <c r="C807" s="121"/>
      <c r="E807" s="121"/>
      <c r="F807" s="121"/>
    </row>
    <row r="808" spans="3:6" ht="15.75" customHeight="1" x14ac:dyDescent="0.3">
      <c r="C808" s="121"/>
      <c r="E808" s="121"/>
      <c r="F808" s="121"/>
    </row>
    <row r="809" spans="3:6" ht="15.75" customHeight="1" x14ac:dyDescent="0.3">
      <c r="C809" s="121"/>
      <c r="E809" s="121"/>
      <c r="F809" s="121"/>
    </row>
    <row r="810" spans="3:6" ht="15.75" customHeight="1" x14ac:dyDescent="0.3">
      <c r="C810" s="121"/>
      <c r="E810" s="121"/>
      <c r="F810" s="121"/>
    </row>
    <row r="811" spans="3:6" ht="15.75" customHeight="1" x14ac:dyDescent="0.3">
      <c r="C811" s="121"/>
      <c r="E811" s="121"/>
      <c r="F811" s="121"/>
    </row>
    <row r="812" spans="3:6" ht="15.75" customHeight="1" x14ac:dyDescent="0.3">
      <c r="C812" s="121"/>
      <c r="E812" s="121"/>
      <c r="F812" s="121"/>
    </row>
    <row r="813" spans="3:6" ht="15.75" customHeight="1" x14ac:dyDescent="0.3">
      <c r="C813" s="121"/>
      <c r="E813" s="121"/>
      <c r="F813" s="121"/>
    </row>
    <row r="814" spans="3:6" ht="15.75" customHeight="1" x14ac:dyDescent="0.3">
      <c r="C814" s="121"/>
      <c r="E814" s="121"/>
      <c r="F814" s="121"/>
    </row>
    <row r="815" spans="3:6" ht="15.75" customHeight="1" x14ac:dyDescent="0.3">
      <c r="C815" s="121"/>
      <c r="E815" s="121"/>
      <c r="F815" s="121"/>
    </row>
    <row r="816" spans="3:6" ht="15.75" customHeight="1" x14ac:dyDescent="0.3">
      <c r="C816" s="121"/>
      <c r="E816" s="121"/>
      <c r="F816" s="121"/>
    </row>
    <row r="817" spans="3:6" ht="15.75" customHeight="1" x14ac:dyDescent="0.3">
      <c r="C817" s="121"/>
      <c r="E817" s="121"/>
      <c r="F817" s="121"/>
    </row>
    <row r="818" spans="3:6" ht="15.75" customHeight="1" x14ac:dyDescent="0.3">
      <c r="C818" s="121"/>
      <c r="E818" s="121"/>
      <c r="F818" s="121"/>
    </row>
    <row r="819" spans="3:6" ht="15.75" customHeight="1" x14ac:dyDescent="0.3">
      <c r="C819" s="121"/>
      <c r="E819" s="121"/>
      <c r="F819" s="121"/>
    </row>
    <row r="820" spans="3:6" ht="15.75" customHeight="1" x14ac:dyDescent="0.3">
      <c r="C820" s="121"/>
      <c r="E820" s="121"/>
      <c r="F820" s="121"/>
    </row>
    <row r="821" spans="3:6" ht="15.75" customHeight="1" x14ac:dyDescent="0.3">
      <c r="C821" s="121"/>
      <c r="E821" s="121"/>
      <c r="F821" s="121"/>
    </row>
    <row r="822" spans="3:6" ht="15.75" customHeight="1" x14ac:dyDescent="0.3">
      <c r="C822" s="121"/>
      <c r="E822" s="121"/>
      <c r="F822" s="121"/>
    </row>
    <row r="823" spans="3:6" ht="15.75" customHeight="1" x14ac:dyDescent="0.3">
      <c r="C823" s="121"/>
      <c r="E823" s="121"/>
      <c r="F823" s="121"/>
    </row>
    <row r="824" spans="3:6" ht="15.75" customHeight="1" x14ac:dyDescent="0.3">
      <c r="C824" s="121"/>
      <c r="E824" s="121"/>
      <c r="F824" s="121"/>
    </row>
    <row r="825" spans="3:6" ht="15.75" customHeight="1" x14ac:dyDescent="0.3">
      <c r="C825" s="121"/>
      <c r="E825" s="121"/>
      <c r="F825" s="121"/>
    </row>
    <row r="826" spans="3:6" ht="15.75" customHeight="1" x14ac:dyDescent="0.3">
      <c r="C826" s="121"/>
      <c r="E826" s="121"/>
      <c r="F826" s="121"/>
    </row>
    <row r="827" spans="3:6" ht="15.75" customHeight="1" x14ac:dyDescent="0.3">
      <c r="C827" s="121"/>
      <c r="E827" s="121"/>
      <c r="F827" s="121"/>
    </row>
    <row r="828" spans="3:6" ht="15.75" customHeight="1" x14ac:dyDescent="0.3">
      <c r="C828" s="121"/>
      <c r="E828" s="121"/>
      <c r="F828" s="121"/>
    </row>
    <row r="829" spans="3:6" ht="15.75" customHeight="1" x14ac:dyDescent="0.3">
      <c r="C829" s="121"/>
      <c r="E829" s="121"/>
      <c r="F829" s="121"/>
    </row>
    <row r="830" spans="3:6" ht="15.75" customHeight="1" x14ac:dyDescent="0.3">
      <c r="C830" s="121"/>
      <c r="E830" s="121"/>
      <c r="F830" s="121"/>
    </row>
    <row r="831" spans="3:6" ht="15.75" customHeight="1" x14ac:dyDescent="0.3">
      <c r="C831" s="121"/>
      <c r="E831" s="121"/>
      <c r="F831" s="121"/>
    </row>
    <row r="832" spans="3:6" ht="15.75" customHeight="1" x14ac:dyDescent="0.3">
      <c r="C832" s="121"/>
      <c r="E832" s="121"/>
      <c r="F832" s="121"/>
    </row>
    <row r="833" spans="3:6" ht="15.75" customHeight="1" x14ac:dyDescent="0.3">
      <c r="C833" s="121"/>
      <c r="E833" s="121"/>
      <c r="F833" s="121"/>
    </row>
    <row r="834" spans="3:6" ht="15.75" customHeight="1" x14ac:dyDescent="0.3">
      <c r="C834" s="121"/>
      <c r="E834" s="121"/>
      <c r="F834" s="121"/>
    </row>
    <row r="835" spans="3:6" ht="15.75" customHeight="1" x14ac:dyDescent="0.3">
      <c r="C835" s="121"/>
      <c r="E835" s="121"/>
      <c r="F835" s="121"/>
    </row>
    <row r="836" spans="3:6" ht="15.75" customHeight="1" x14ac:dyDescent="0.3">
      <c r="C836" s="121"/>
      <c r="E836" s="121"/>
      <c r="F836" s="121"/>
    </row>
    <row r="837" spans="3:6" ht="15.75" customHeight="1" x14ac:dyDescent="0.3">
      <c r="C837" s="121"/>
      <c r="E837" s="121"/>
      <c r="F837" s="121"/>
    </row>
    <row r="838" spans="3:6" ht="15.75" customHeight="1" x14ac:dyDescent="0.3">
      <c r="C838" s="121"/>
      <c r="E838" s="121"/>
      <c r="F838" s="121"/>
    </row>
    <row r="839" spans="3:6" ht="15.75" customHeight="1" x14ac:dyDescent="0.3">
      <c r="C839" s="121"/>
      <c r="E839" s="121"/>
      <c r="F839" s="121"/>
    </row>
    <row r="840" spans="3:6" ht="15.75" customHeight="1" x14ac:dyDescent="0.3">
      <c r="C840" s="121"/>
      <c r="E840" s="121"/>
      <c r="F840" s="121"/>
    </row>
    <row r="841" spans="3:6" ht="15.75" customHeight="1" x14ac:dyDescent="0.3">
      <c r="C841" s="121"/>
      <c r="E841" s="121"/>
      <c r="F841" s="121"/>
    </row>
    <row r="842" spans="3:6" ht="15.75" customHeight="1" x14ac:dyDescent="0.3">
      <c r="C842" s="121"/>
      <c r="E842" s="121"/>
      <c r="F842" s="121"/>
    </row>
    <row r="843" spans="3:6" ht="15.75" customHeight="1" x14ac:dyDescent="0.3">
      <c r="C843" s="121"/>
      <c r="E843" s="121"/>
      <c r="F843" s="121"/>
    </row>
    <row r="844" spans="3:6" ht="15.75" customHeight="1" x14ac:dyDescent="0.3">
      <c r="C844" s="121"/>
      <c r="E844" s="121"/>
      <c r="F844" s="121"/>
    </row>
    <row r="845" spans="3:6" ht="15.75" customHeight="1" x14ac:dyDescent="0.3">
      <c r="C845" s="121"/>
      <c r="E845" s="121"/>
      <c r="F845" s="121"/>
    </row>
    <row r="846" spans="3:6" ht="15.75" customHeight="1" x14ac:dyDescent="0.3">
      <c r="C846" s="121"/>
      <c r="E846" s="121"/>
      <c r="F846" s="121"/>
    </row>
    <row r="847" spans="3:6" ht="15.75" customHeight="1" x14ac:dyDescent="0.3">
      <c r="C847" s="121"/>
      <c r="E847" s="121"/>
      <c r="F847" s="121"/>
    </row>
    <row r="848" spans="3:6" ht="15.75" customHeight="1" x14ac:dyDescent="0.3">
      <c r="C848" s="121"/>
      <c r="E848" s="121"/>
      <c r="F848" s="121"/>
    </row>
    <row r="849" spans="3:6" ht="15.75" customHeight="1" x14ac:dyDescent="0.3">
      <c r="C849" s="121"/>
      <c r="E849" s="121"/>
      <c r="F849" s="121"/>
    </row>
    <row r="850" spans="3:6" ht="15.75" customHeight="1" x14ac:dyDescent="0.3">
      <c r="C850" s="121"/>
      <c r="E850" s="121"/>
      <c r="F850" s="121"/>
    </row>
    <row r="851" spans="3:6" ht="15.75" customHeight="1" x14ac:dyDescent="0.3">
      <c r="C851" s="121"/>
      <c r="E851" s="121"/>
      <c r="F851" s="121"/>
    </row>
    <row r="852" spans="3:6" ht="15.75" customHeight="1" x14ac:dyDescent="0.3">
      <c r="C852" s="121"/>
      <c r="E852" s="121"/>
      <c r="F852" s="121"/>
    </row>
    <row r="853" spans="3:6" ht="15.75" customHeight="1" x14ac:dyDescent="0.3">
      <c r="C853" s="121"/>
      <c r="E853" s="121"/>
      <c r="F853" s="121"/>
    </row>
    <row r="854" spans="3:6" ht="15.75" customHeight="1" x14ac:dyDescent="0.3">
      <c r="C854" s="121"/>
      <c r="E854" s="121"/>
      <c r="F854" s="121"/>
    </row>
    <row r="855" spans="3:6" ht="15.75" customHeight="1" x14ac:dyDescent="0.3">
      <c r="C855" s="121"/>
      <c r="E855" s="121"/>
      <c r="F855" s="121"/>
    </row>
    <row r="856" spans="3:6" ht="15.75" customHeight="1" x14ac:dyDescent="0.3">
      <c r="C856" s="121"/>
      <c r="E856" s="121"/>
      <c r="F856" s="121"/>
    </row>
    <row r="857" spans="3:6" ht="15.75" customHeight="1" x14ac:dyDescent="0.3">
      <c r="C857" s="121"/>
      <c r="E857" s="121"/>
      <c r="F857" s="121"/>
    </row>
    <row r="858" spans="3:6" ht="15.75" customHeight="1" x14ac:dyDescent="0.3">
      <c r="C858" s="121"/>
      <c r="E858" s="121"/>
      <c r="F858" s="121"/>
    </row>
    <row r="859" spans="3:6" ht="15.75" customHeight="1" x14ac:dyDescent="0.3">
      <c r="C859" s="121"/>
      <c r="E859" s="121"/>
      <c r="F859" s="121"/>
    </row>
    <row r="860" spans="3:6" ht="15.75" customHeight="1" x14ac:dyDescent="0.3">
      <c r="C860" s="121"/>
      <c r="E860" s="121"/>
      <c r="F860" s="121"/>
    </row>
    <row r="861" spans="3:6" ht="15.75" customHeight="1" x14ac:dyDescent="0.3">
      <c r="C861" s="121"/>
      <c r="E861" s="121"/>
      <c r="F861" s="121"/>
    </row>
    <row r="862" spans="3:6" ht="15.75" customHeight="1" x14ac:dyDescent="0.3">
      <c r="C862" s="121"/>
      <c r="E862" s="121"/>
      <c r="F862" s="121"/>
    </row>
    <row r="863" spans="3:6" ht="15.75" customHeight="1" x14ac:dyDescent="0.3">
      <c r="C863" s="121"/>
      <c r="E863" s="121"/>
      <c r="F863" s="121"/>
    </row>
    <row r="864" spans="3:6" ht="15.75" customHeight="1" x14ac:dyDescent="0.3">
      <c r="C864" s="121"/>
      <c r="E864" s="121"/>
      <c r="F864" s="121"/>
    </row>
    <row r="865" spans="3:6" ht="15.75" customHeight="1" x14ac:dyDescent="0.3">
      <c r="C865" s="121"/>
      <c r="E865" s="121"/>
      <c r="F865" s="121"/>
    </row>
    <row r="866" spans="3:6" ht="15.75" customHeight="1" x14ac:dyDescent="0.3">
      <c r="C866" s="121"/>
      <c r="E866" s="121"/>
      <c r="F866" s="121"/>
    </row>
    <row r="867" spans="3:6" ht="15.75" customHeight="1" x14ac:dyDescent="0.3">
      <c r="C867" s="121"/>
      <c r="E867" s="121"/>
      <c r="F867" s="121"/>
    </row>
    <row r="868" spans="3:6" ht="15.75" customHeight="1" x14ac:dyDescent="0.3">
      <c r="C868" s="121"/>
      <c r="E868" s="121"/>
      <c r="F868" s="121"/>
    </row>
    <row r="869" spans="3:6" ht="15.75" customHeight="1" x14ac:dyDescent="0.3">
      <c r="C869" s="121"/>
      <c r="E869" s="121"/>
      <c r="F869" s="121"/>
    </row>
    <row r="870" spans="3:6" ht="15.75" customHeight="1" x14ac:dyDescent="0.3">
      <c r="C870" s="121"/>
      <c r="E870" s="121"/>
      <c r="F870" s="121"/>
    </row>
    <row r="871" spans="3:6" ht="15.75" customHeight="1" x14ac:dyDescent="0.3">
      <c r="C871" s="121"/>
      <c r="E871" s="121"/>
      <c r="F871" s="121"/>
    </row>
    <row r="872" spans="3:6" ht="15.75" customHeight="1" x14ac:dyDescent="0.3">
      <c r="C872" s="121"/>
      <c r="E872" s="121"/>
      <c r="F872" s="121"/>
    </row>
    <row r="873" spans="3:6" ht="15.75" customHeight="1" x14ac:dyDescent="0.3">
      <c r="C873" s="121"/>
      <c r="E873" s="121"/>
      <c r="F873" s="121"/>
    </row>
    <row r="874" spans="3:6" ht="15.75" customHeight="1" x14ac:dyDescent="0.3">
      <c r="C874" s="121"/>
      <c r="E874" s="121"/>
      <c r="F874" s="121"/>
    </row>
    <row r="875" spans="3:6" ht="15.75" customHeight="1" x14ac:dyDescent="0.3">
      <c r="C875" s="121"/>
      <c r="E875" s="121"/>
      <c r="F875" s="121"/>
    </row>
    <row r="876" spans="3:6" ht="15.75" customHeight="1" x14ac:dyDescent="0.3">
      <c r="C876" s="121"/>
      <c r="E876" s="121"/>
      <c r="F876" s="121"/>
    </row>
    <row r="877" spans="3:6" ht="15.75" customHeight="1" x14ac:dyDescent="0.3">
      <c r="C877" s="121"/>
      <c r="E877" s="121"/>
      <c r="F877" s="121"/>
    </row>
    <row r="878" spans="3:6" ht="15.75" customHeight="1" x14ac:dyDescent="0.3">
      <c r="C878" s="121"/>
      <c r="E878" s="121"/>
      <c r="F878" s="121"/>
    </row>
    <row r="879" spans="3:6" ht="15.75" customHeight="1" x14ac:dyDescent="0.3">
      <c r="C879" s="121"/>
      <c r="E879" s="121"/>
      <c r="F879" s="121"/>
    </row>
    <row r="880" spans="3:6" ht="15.75" customHeight="1" x14ac:dyDescent="0.3">
      <c r="C880" s="121"/>
      <c r="E880" s="121"/>
      <c r="F880" s="121"/>
    </row>
    <row r="881" spans="3:6" ht="15.75" customHeight="1" x14ac:dyDescent="0.3">
      <c r="C881" s="121"/>
      <c r="E881" s="121"/>
      <c r="F881" s="121"/>
    </row>
    <row r="882" spans="3:6" ht="15.75" customHeight="1" x14ac:dyDescent="0.3">
      <c r="C882" s="121"/>
      <c r="E882" s="121"/>
      <c r="F882" s="121"/>
    </row>
    <row r="883" spans="3:6" ht="15.75" customHeight="1" x14ac:dyDescent="0.3">
      <c r="C883" s="121"/>
      <c r="E883" s="121"/>
      <c r="F883" s="121"/>
    </row>
    <row r="884" spans="3:6" ht="15.75" customHeight="1" x14ac:dyDescent="0.3">
      <c r="C884" s="121"/>
      <c r="E884" s="121"/>
      <c r="F884" s="121"/>
    </row>
    <row r="885" spans="3:6" ht="15.75" customHeight="1" x14ac:dyDescent="0.3">
      <c r="C885" s="121"/>
      <c r="E885" s="121"/>
      <c r="F885" s="121"/>
    </row>
    <row r="886" spans="3:6" ht="15.75" customHeight="1" x14ac:dyDescent="0.3">
      <c r="C886" s="121"/>
      <c r="E886" s="121"/>
      <c r="F886" s="121"/>
    </row>
    <row r="887" spans="3:6" ht="15.75" customHeight="1" x14ac:dyDescent="0.3">
      <c r="C887" s="121"/>
      <c r="E887" s="121"/>
      <c r="F887" s="121"/>
    </row>
    <row r="888" spans="3:6" ht="15.75" customHeight="1" x14ac:dyDescent="0.3">
      <c r="C888" s="121"/>
      <c r="E888" s="121"/>
      <c r="F888" s="121"/>
    </row>
    <row r="889" spans="3:6" ht="15.75" customHeight="1" x14ac:dyDescent="0.3">
      <c r="C889" s="121"/>
      <c r="E889" s="121"/>
      <c r="F889" s="121"/>
    </row>
    <row r="890" spans="3:6" ht="15.75" customHeight="1" x14ac:dyDescent="0.3">
      <c r="C890" s="121"/>
      <c r="E890" s="121"/>
      <c r="F890" s="121"/>
    </row>
    <row r="891" spans="3:6" ht="15.75" customHeight="1" x14ac:dyDescent="0.3">
      <c r="C891" s="121"/>
      <c r="E891" s="121"/>
      <c r="F891" s="121"/>
    </row>
    <row r="892" spans="3:6" ht="15.75" customHeight="1" x14ac:dyDescent="0.3">
      <c r="C892" s="121"/>
      <c r="E892" s="121"/>
      <c r="F892" s="121"/>
    </row>
    <row r="893" spans="3:6" ht="15.75" customHeight="1" x14ac:dyDescent="0.3">
      <c r="C893" s="121"/>
      <c r="E893" s="121"/>
      <c r="F893" s="121"/>
    </row>
    <row r="894" spans="3:6" ht="15.75" customHeight="1" x14ac:dyDescent="0.3">
      <c r="C894" s="121"/>
      <c r="E894" s="121"/>
      <c r="F894" s="121"/>
    </row>
    <row r="895" spans="3:6" ht="15.75" customHeight="1" x14ac:dyDescent="0.3">
      <c r="C895" s="121"/>
      <c r="E895" s="121"/>
      <c r="F895" s="121"/>
    </row>
    <row r="896" spans="3:6" ht="15.75" customHeight="1" x14ac:dyDescent="0.3">
      <c r="C896" s="121"/>
      <c r="E896" s="121"/>
      <c r="F896" s="121"/>
    </row>
    <row r="897" spans="3:6" ht="15.75" customHeight="1" x14ac:dyDescent="0.3">
      <c r="C897" s="121"/>
      <c r="E897" s="121"/>
      <c r="F897" s="121"/>
    </row>
    <row r="898" spans="3:6" ht="15.75" customHeight="1" x14ac:dyDescent="0.3">
      <c r="C898" s="121"/>
      <c r="E898" s="121"/>
      <c r="F898" s="121"/>
    </row>
    <row r="899" spans="3:6" ht="15.75" customHeight="1" x14ac:dyDescent="0.3">
      <c r="C899" s="121"/>
      <c r="E899" s="121"/>
      <c r="F899" s="121"/>
    </row>
    <row r="900" spans="3:6" ht="15.75" customHeight="1" x14ac:dyDescent="0.3">
      <c r="C900" s="121"/>
      <c r="E900" s="121"/>
      <c r="F900" s="121"/>
    </row>
    <row r="901" spans="3:6" ht="15.75" customHeight="1" x14ac:dyDescent="0.3">
      <c r="C901" s="121"/>
      <c r="E901" s="121"/>
      <c r="F901" s="121"/>
    </row>
    <row r="902" spans="3:6" ht="15.75" customHeight="1" x14ac:dyDescent="0.3">
      <c r="C902" s="121"/>
      <c r="E902" s="121"/>
      <c r="F902" s="121"/>
    </row>
    <row r="903" spans="3:6" ht="15.75" customHeight="1" x14ac:dyDescent="0.3">
      <c r="C903" s="121"/>
      <c r="E903" s="121"/>
      <c r="F903" s="121"/>
    </row>
    <row r="904" spans="3:6" ht="15.75" customHeight="1" x14ac:dyDescent="0.3">
      <c r="C904" s="121"/>
      <c r="E904" s="121"/>
      <c r="F904" s="121"/>
    </row>
    <row r="905" spans="3:6" ht="15.75" customHeight="1" x14ac:dyDescent="0.3">
      <c r="C905" s="121"/>
      <c r="E905" s="121"/>
      <c r="F905" s="121"/>
    </row>
    <row r="906" spans="3:6" ht="15.75" customHeight="1" x14ac:dyDescent="0.3">
      <c r="C906" s="121"/>
      <c r="E906" s="121"/>
      <c r="F906" s="121"/>
    </row>
    <row r="907" spans="3:6" ht="15.75" customHeight="1" x14ac:dyDescent="0.3">
      <c r="C907" s="121"/>
      <c r="E907" s="121"/>
      <c r="F907" s="121"/>
    </row>
    <row r="908" spans="3:6" ht="15.75" customHeight="1" x14ac:dyDescent="0.3">
      <c r="C908" s="121"/>
      <c r="E908" s="121"/>
      <c r="F908" s="121"/>
    </row>
    <row r="909" spans="3:6" ht="15.75" customHeight="1" x14ac:dyDescent="0.3">
      <c r="C909" s="121"/>
      <c r="E909" s="121"/>
      <c r="F909" s="121"/>
    </row>
    <row r="910" spans="3:6" ht="15.75" customHeight="1" x14ac:dyDescent="0.3">
      <c r="C910" s="121"/>
      <c r="E910" s="121"/>
      <c r="F910" s="121"/>
    </row>
    <row r="911" spans="3:6" ht="15.75" customHeight="1" x14ac:dyDescent="0.3">
      <c r="C911" s="121"/>
      <c r="E911" s="121"/>
      <c r="F911" s="121"/>
    </row>
    <row r="912" spans="3:6" ht="15.75" customHeight="1" x14ac:dyDescent="0.3">
      <c r="C912" s="121"/>
      <c r="E912" s="121"/>
      <c r="F912" s="121"/>
    </row>
    <row r="913" spans="3:6" ht="15.75" customHeight="1" x14ac:dyDescent="0.3">
      <c r="C913" s="121"/>
      <c r="E913" s="121"/>
      <c r="F913" s="121"/>
    </row>
    <row r="914" spans="3:6" ht="15.75" customHeight="1" x14ac:dyDescent="0.3">
      <c r="C914" s="121"/>
      <c r="E914" s="121"/>
      <c r="F914" s="121"/>
    </row>
    <row r="915" spans="3:6" ht="15.75" customHeight="1" x14ac:dyDescent="0.3">
      <c r="C915" s="121"/>
      <c r="E915" s="121"/>
      <c r="F915" s="121"/>
    </row>
    <row r="916" spans="3:6" ht="15.75" customHeight="1" x14ac:dyDescent="0.3">
      <c r="C916" s="121"/>
      <c r="E916" s="121"/>
      <c r="F916" s="121"/>
    </row>
    <row r="917" spans="3:6" ht="15.75" customHeight="1" x14ac:dyDescent="0.3">
      <c r="C917" s="121"/>
      <c r="E917" s="121"/>
      <c r="F917" s="121"/>
    </row>
    <row r="918" spans="3:6" ht="15.75" customHeight="1" x14ac:dyDescent="0.3">
      <c r="C918" s="121"/>
      <c r="E918" s="121"/>
      <c r="F918" s="121"/>
    </row>
    <row r="919" spans="3:6" ht="15.75" customHeight="1" x14ac:dyDescent="0.3">
      <c r="C919" s="121"/>
      <c r="E919" s="121"/>
      <c r="F919" s="121"/>
    </row>
    <row r="920" spans="3:6" ht="15.75" customHeight="1" x14ac:dyDescent="0.3">
      <c r="C920" s="121"/>
      <c r="E920" s="121"/>
      <c r="F920" s="121"/>
    </row>
    <row r="921" spans="3:6" ht="15.75" customHeight="1" x14ac:dyDescent="0.3">
      <c r="C921" s="121"/>
      <c r="E921" s="121"/>
      <c r="F921" s="121"/>
    </row>
    <row r="922" spans="3:6" ht="15.75" customHeight="1" x14ac:dyDescent="0.3">
      <c r="C922" s="121"/>
      <c r="E922" s="121"/>
      <c r="F922" s="121"/>
    </row>
    <row r="923" spans="3:6" ht="15.75" customHeight="1" x14ac:dyDescent="0.3">
      <c r="C923" s="121"/>
      <c r="E923" s="121"/>
      <c r="F923" s="121"/>
    </row>
    <row r="924" spans="3:6" ht="15.75" customHeight="1" x14ac:dyDescent="0.3">
      <c r="C924" s="121"/>
      <c r="E924" s="121"/>
      <c r="F924" s="121"/>
    </row>
    <row r="925" spans="3:6" ht="15.75" customHeight="1" x14ac:dyDescent="0.3">
      <c r="C925" s="121"/>
      <c r="E925" s="121"/>
      <c r="F925" s="121"/>
    </row>
    <row r="926" spans="3:6" ht="15.75" customHeight="1" x14ac:dyDescent="0.3">
      <c r="C926" s="121"/>
      <c r="E926" s="121"/>
      <c r="F926" s="121"/>
    </row>
    <row r="927" spans="3:6" ht="15.75" customHeight="1" x14ac:dyDescent="0.3">
      <c r="C927" s="121"/>
      <c r="E927" s="121"/>
      <c r="F927" s="121"/>
    </row>
    <row r="928" spans="3:6" ht="15.75" customHeight="1" x14ac:dyDescent="0.3">
      <c r="C928" s="121"/>
      <c r="E928" s="121"/>
      <c r="F928" s="121"/>
    </row>
    <row r="929" spans="3:6" ht="15.75" customHeight="1" x14ac:dyDescent="0.3">
      <c r="C929" s="121"/>
      <c r="E929" s="121"/>
      <c r="F929" s="121"/>
    </row>
    <row r="930" spans="3:6" ht="15.75" customHeight="1" x14ac:dyDescent="0.3">
      <c r="C930" s="121"/>
      <c r="E930" s="121"/>
      <c r="F930" s="121"/>
    </row>
    <row r="931" spans="3:6" ht="15.75" customHeight="1" x14ac:dyDescent="0.3">
      <c r="C931" s="121"/>
      <c r="E931" s="121"/>
      <c r="F931" s="121"/>
    </row>
    <row r="932" spans="3:6" ht="15.75" customHeight="1" x14ac:dyDescent="0.3">
      <c r="C932" s="121"/>
      <c r="E932" s="121"/>
      <c r="F932" s="121"/>
    </row>
    <row r="933" spans="3:6" ht="15.75" customHeight="1" x14ac:dyDescent="0.3">
      <c r="C933" s="121"/>
      <c r="E933" s="121"/>
      <c r="F933" s="121"/>
    </row>
    <row r="934" spans="3:6" ht="15.75" customHeight="1" x14ac:dyDescent="0.3">
      <c r="C934" s="121"/>
      <c r="E934" s="121"/>
      <c r="F934" s="121"/>
    </row>
    <row r="935" spans="3:6" ht="15.75" customHeight="1" x14ac:dyDescent="0.3">
      <c r="C935" s="121"/>
      <c r="E935" s="121"/>
      <c r="F935" s="121"/>
    </row>
    <row r="936" spans="3:6" ht="15.75" customHeight="1" x14ac:dyDescent="0.3">
      <c r="C936" s="121"/>
      <c r="E936" s="121"/>
      <c r="F936" s="121"/>
    </row>
    <row r="937" spans="3:6" ht="15.75" customHeight="1" x14ac:dyDescent="0.3">
      <c r="C937" s="121"/>
      <c r="E937" s="121"/>
      <c r="F937" s="121"/>
    </row>
    <row r="938" spans="3:6" ht="15.75" customHeight="1" x14ac:dyDescent="0.3">
      <c r="C938" s="121"/>
      <c r="E938" s="121"/>
      <c r="F938" s="121"/>
    </row>
    <row r="939" spans="3:6" ht="15.75" customHeight="1" x14ac:dyDescent="0.3">
      <c r="C939" s="121"/>
      <c r="E939" s="121"/>
      <c r="F939" s="121"/>
    </row>
    <row r="940" spans="3:6" ht="15.75" customHeight="1" x14ac:dyDescent="0.3">
      <c r="C940" s="121"/>
      <c r="E940" s="121"/>
      <c r="F940" s="121"/>
    </row>
    <row r="941" spans="3:6" ht="15.75" customHeight="1" x14ac:dyDescent="0.3">
      <c r="C941" s="121"/>
      <c r="E941" s="121"/>
      <c r="F941" s="121"/>
    </row>
    <row r="942" spans="3:6" ht="15.75" customHeight="1" x14ac:dyDescent="0.3">
      <c r="C942" s="121"/>
      <c r="E942" s="121"/>
      <c r="F942" s="121"/>
    </row>
    <row r="943" spans="3:6" ht="15.75" customHeight="1" x14ac:dyDescent="0.3">
      <c r="C943" s="121"/>
      <c r="E943" s="121"/>
      <c r="F943" s="121"/>
    </row>
    <row r="944" spans="3:6" ht="15.75" customHeight="1" x14ac:dyDescent="0.3">
      <c r="C944" s="121"/>
      <c r="E944" s="121"/>
      <c r="F944" s="121"/>
    </row>
    <row r="945" spans="3:6" ht="15.75" customHeight="1" x14ac:dyDescent="0.3">
      <c r="C945" s="121"/>
      <c r="E945" s="121"/>
      <c r="F945" s="121"/>
    </row>
    <row r="946" spans="3:6" ht="15.75" customHeight="1" x14ac:dyDescent="0.3">
      <c r="C946" s="121"/>
      <c r="E946" s="121"/>
      <c r="F946" s="121"/>
    </row>
    <row r="947" spans="3:6" ht="15.75" customHeight="1" x14ac:dyDescent="0.3">
      <c r="C947" s="121"/>
      <c r="E947" s="121"/>
      <c r="F947" s="121"/>
    </row>
    <row r="948" spans="3:6" ht="15.75" customHeight="1" x14ac:dyDescent="0.3">
      <c r="C948" s="121"/>
      <c r="E948" s="121"/>
      <c r="F948" s="121"/>
    </row>
    <row r="949" spans="3:6" ht="15.75" customHeight="1" x14ac:dyDescent="0.3">
      <c r="C949" s="121"/>
      <c r="E949" s="121"/>
      <c r="F949" s="121"/>
    </row>
    <row r="950" spans="3:6" ht="15.75" customHeight="1" x14ac:dyDescent="0.3">
      <c r="C950" s="121"/>
      <c r="E950" s="121"/>
      <c r="F950" s="121"/>
    </row>
    <row r="951" spans="3:6" ht="15.75" customHeight="1" x14ac:dyDescent="0.3">
      <c r="C951" s="121"/>
      <c r="E951" s="121"/>
      <c r="F951" s="121"/>
    </row>
    <row r="952" spans="3:6" ht="15.75" customHeight="1" x14ac:dyDescent="0.3">
      <c r="C952" s="121"/>
      <c r="E952" s="121"/>
      <c r="F952" s="121"/>
    </row>
    <row r="953" spans="3:6" ht="15.75" customHeight="1" x14ac:dyDescent="0.3">
      <c r="C953" s="121"/>
      <c r="E953" s="121"/>
      <c r="F953" s="121"/>
    </row>
    <row r="954" spans="3:6" ht="15.75" customHeight="1" x14ac:dyDescent="0.3">
      <c r="C954" s="121"/>
      <c r="E954" s="121"/>
      <c r="F954" s="121"/>
    </row>
    <row r="955" spans="3:6" ht="15.75" customHeight="1" x14ac:dyDescent="0.3">
      <c r="C955" s="121"/>
      <c r="E955" s="121"/>
      <c r="F955" s="121"/>
    </row>
    <row r="956" spans="3:6" ht="15.75" customHeight="1" x14ac:dyDescent="0.3">
      <c r="C956" s="121"/>
      <c r="E956" s="121"/>
      <c r="F956" s="121"/>
    </row>
    <row r="957" spans="3:6" ht="15.75" customHeight="1" x14ac:dyDescent="0.3">
      <c r="C957" s="121"/>
      <c r="E957" s="121"/>
      <c r="F957" s="121"/>
    </row>
    <row r="958" spans="3:6" ht="15.75" customHeight="1" x14ac:dyDescent="0.3">
      <c r="C958" s="121"/>
      <c r="E958" s="121"/>
      <c r="F958" s="121"/>
    </row>
    <row r="959" spans="3:6" ht="15.75" customHeight="1" x14ac:dyDescent="0.3">
      <c r="C959" s="121"/>
      <c r="E959" s="121"/>
      <c r="F959" s="121"/>
    </row>
    <row r="960" spans="3:6" ht="15.75" customHeight="1" x14ac:dyDescent="0.3">
      <c r="C960" s="121"/>
      <c r="E960" s="121"/>
      <c r="F960" s="121"/>
    </row>
    <row r="961" spans="3:6" ht="15.75" customHeight="1" x14ac:dyDescent="0.3">
      <c r="C961" s="121"/>
      <c r="E961" s="121"/>
      <c r="F961" s="121"/>
    </row>
    <row r="962" spans="3:6" ht="15.75" customHeight="1" x14ac:dyDescent="0.3">
      <c r="C962" s="121"/>
      <c r="E962" s="121"/>
      <c r="F962" s="121"/>
    </row>
    <row r="963" spans="3:6" ht="15.75" customHeight="1" x14ac:dyDescent="0.3">
      <c r="C963" s="121"/>
      <c r="E963" s="121"/>
      <c r="F963" s="121"/>
    </row>
    <row r="964" spans="3:6" ht="15.75" customHeight="1" x14ac:dyDescent="0.3">
      <c r="C964" s="121"/>
      <c r="E964" s="121"/>
      <c r="F964" s="121"/>
    </row>
    <row r="965" spans="3:6" ht="15.75" customHeight="1" x14ac:dyDescent="0.3">
      <c r="C965" s="121"/>
      <c r="E965" s="121"/>
      <c r="F965" s="121"/>
    </row>
    <row r="966" spans="3:6" ht="15.75" customHeight="1" x14ac:dyDescent="0.3">
      <c r="C966" s="121"/>
      <c r="E966" s="121"/>
      <c r="F966" s="121"/>
    </row>
    <row r="967" spans="3:6" ht="15.75" customHeight="1" x14ac:dyDescent="0.3">
      <c r="C967" s="121"/>
      <c r="E967" s="121"/>
      <c r="F967" s="121"/>
    </row>
    <row r="968" spans="3:6" ht="15.75" customHeight="1" x14ac:dyDescent="0.3">
      <c r="C968" s="121"/>
      <c r="E968" s="121"/>
      <c r="F968" s="121"/>
    </row>
    <row r="969" spans="3:6" ht="15.75" customHeight="1" x14ac:dyDescent="0.3">
      <c r="C969" s="121"/>
      <c r="E969" s="121"/>
      <c r="F969" s="121"/>
    </row>
    <row r="970" spans="3:6" ht="15.75" customHeight="1" x14ac:dyDescent="0.3">
      <c r="C970" s="121"/>
      <c r="E970" s="121"/>
      <c r="F970" s="121"/>
    </row>
    <row r="971" spans="3:6" ht="15.75" customHeight="1" x14ac:dyDescent="0.3">
      <c r="C971" s="121"/>
      <c r="E971" s="121"/>
      <c r="F971" s="121"/>
    </row>
    <row r="972" spans="3:6" ht="15.75" customHeight="1" x14ac:dyDescent="0.3">
      <c r="C972" s="121"/>
      <c r="E972" s="121"/>
      <c r="F972" s="121"/>
    </row>
    <row r="973" spans="3:6" ht="15.75" customHeight="1" x14ac:dyDescent="0.3">
      <c r="C973" s="121"/>
      <c r="E973" s="121"/>
      <c r="F973" s="121"/>
    </row>
    <row r="974" spans="3:6" ht="15.75" customHeight="1" x14ac:dyDescent="0.3">
      <c r="C974" s="121"/>
      <c r="E974" s="121"/>
      <c r="F974" s="121"/>
    </row>
    <row r="975" spans="3:6" ht="15.75" customHeight="1" x14ac:dyDescent="0.3">
      <c r="C975" s="121"/>
      <c r="E975" s="121"/>
      <c r="F975" s="121"/>
    </row>
    <row r="976" spans="3:6" ht="15.75" customHeight="1" x14ac:dyDescent="0.3">
      <c r="C976" s="121"/>
      <c r="E976" s="121"/>
      <c r="F976" s="121"/>
    </row>
    <row r="977" spans="3:6" ht="15.75" customHeight="1" x14ac:dyDescent="0.3">
      <c r="C977" s="121"/>
      <c r="E977" s="121"/>
      <c r="F977" s="121"/>
    </row>
    <row r="978" spans="3:6" ht="15.75" customHeight="1" x14ac:dyDescent="0.3">
      <c r="C978" s="121"/>
      <c r="E978" s="121"/>
      <c r="F978" s="121"/>
    </row>
    <row r="979" spans="3:6" ht="15.75" customHeight="1" x14ac:dyDescent="0.3">
      <c r="C979" s="121"/>
      <c r="E979" s="121"/>
      <c r="F979" s="121"/>
    </row>
    <row r="980" spans="3:6" ht="15.75" customHeight="1" x14ac:dyDescent="0.3">
      <c r="C980" s="121"/>
      <c r="E980" s="121"/>
      <c r="F980" s="121"/>
    </row>
    <row r="981" spans="3:6" ht="15.75" customHeight="1" x14ac:dyDescent="0.3">
      <c r="C981" s="121"/>
      <c r="E981" s="121"/>
      <c r="F981" s="121"/>
    </row>
    <row r="982" spans="3:6" ht="15.75" customHeight="1" x14ac:dyDescent="0.3">
      <c r="C982" s="121"/>
      <c r="E982" s="121"/>
      <c r="F982" s="121"/>
    </row>
    <row r="983" spans="3:6" ht="15.75" customHeight="1" x14ac:dyDescent="0.3">
      <c r="C983" s="121"/>
      <c r="E983" s="121"/>
      <c r="F983" s="121"/>
    </row>
    <row r="984" spans="3:6" ht="15.75" customHeight="1" x14ac:dyDescent="0.3">
      <c r="C984" s="121"/>
      <c r="E984" s="121"/>
      <c r="F984" s="121"/>
    </row>
    <row r="985" spans="3:6" ht="15.75" customHeight="1" x14ac:dyDescent="0.3">
      <c r="C985" s="121"/>
      <c r="E985" s="121"/>
      <c r="F985" s="121"/>
    </row>
    <row r="986" spans="3:6" ht="15.75" customHeight="1" x14ac:dyDescent="0.3">
      <c r="C986" s="121"/>
      <c r="E986" s="121"/>
      <c r="F986" s="121"/>
    </row>
    <row r="987" spans="3:6" ht="15.75" customHeight="1" x14ac:dyDescent="0.3">
      <c r="C987" s="121"/>
      <c r="E987" s="121"/>
      <c r="F987" s="121"/>
    </row>
    <row r="988" spans="3:6" ht="15.75" customHeight="1" x14ac:dyDescent="0.3">
      <c r="C988" s="121"/>
      <c r="E988" s="121"/>
      <c r="F988" s="121"/>
    </row>
    <row r="989" spans="3:6" ht="15.75" customHeight="1" x14ac:dyDescent="0.3">
      <c r="C989" s="121"/>
      <c r="E989" s="121"/>
      <c r="F989" s="121"/>
    </row>
    <row r="990" spans="3:6" ht="15.75" customHeight="1" x14ac:dyDescent="0.3">
      <c r="C990" s="121"/>
      <c r="E990" s="121"/>
      <c r="F990" s="121"/>
    </row>
    <row r="991" spans="3:6" ht="15.75" customHeight="1" x14ac:dyDescent="0.3">
      <c r="C991" s="121"/>
      <c r="E991" s="121"/>
      <c r="F991" s="121"/>
    </row>
    <row r="992" spans="3:6" ht="15.75" customHeight="1" x14ac:dyDescent="0.3">
      <c r="C992" s="121"/>
      <c r="E992" s="121"/>
      <c r="F992" s="121"/>
    </row>
    <row r="993" spans="3:6" ht="15.75" customHeight="1" x14ac:dyDescent="0.3">
      <c r="C993" s="121"/>
      <c r="E993" s="121"/>
      <c r="F993" s="121"/>
    </row>
    <row r="994" spans="3:6" ht="15.75" customHeight="1" x14ac:dyDescent="0.3">
      <c r="C994" s="121"/>
      <c r="E994" s="121"/>
      <c r="F994" s="121"/>
    </row>
    <row r="995" spans="3:6" ht="15.75" customHeight="1" x14ac:dyDescent="0.3">
      <c r="C995" s="121"/>
      <c r="E995" s="121"/>
      <c r="F995" s="121"/>
    </row>
    <row r="996" spans="3:6" ht="15.75" customHeight="1" x14ac:dyDescent="0.3">
      <c r="C996" s="121"/>
      <c r="E996" s="121"/>
      <c r="F996" s="121"/>
    </row>
    <row r="997" spans="3:6" ht="15.75" customHeight="1" x14ac:dyDescent="0.3">
      <c r="C997" s="121"/>
      <c r="E997" s="121"/>
      <c r="F997" s="121"/>
    </row>
    <row r="998" spans="3:6" ht="15.75" customHeight="1" x14ac:dyDescent="0.3">
      <c r="C998" s="121"/>
      <c r="E998" s="121"/>
      <c r="F998" s="121"/>
    </row>
    <row r="999" spans="3:6" ht="15.75" customHeight="1" x14ac:dyDescent="0.3">
      <c r="C999" s="121"/>
      <c r="E999" s="121"/>
      <c r="F999" s="121"/>
    </row>
    <row r="1000" spans="3:6" ht="15.75" customHeight="1" x14ac:dyDescent="0.3">
      <c r="C1000" s="121"/>
      <c r="E1000" s="121"/>
      <c r="F1000" s="121"/>
    </row>
  </sheetData>
  <mergeCells count="3">
    <mergeCell ref="B2:F2"/>
    <mergeCell ref="H5:H17"/>
    <mergeCell ref="B20:F21"/>
  </mergeCells>
  <pageMargins left="0.75" right="0.75" top="1" bottom="1" header="0.511811023622047" footer="0.511811023622047"/>
  <pageSetup paperSize="9" scale="51" fitToHeight="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P998"/>
  <sheetViews>
    <sheetView showGridLines="0" topLeftCell="A3" zoomScaleNormal="100" workbookViewId="0">
      <selection activeCell="I43" sqref="I43"/>
    </sheetView>
  </sheetViews>
  <sheetFormatPr defaultColWidth="14.44140625" defaultRowHeight="14.4" x14ac:dyDescent="0.3"/>
  <cols>
    <col min="1" max="1" width="2" customWidth="1"/>
    <col min="2" max="2" width="30" customWidth="1"/>
    <col min="3" max="3" width="12" customWidth="1"/>
    <col min="4" max="7" width="14" customWidth="1"/>
    <col min="8" max="8" width="12" customWidth="1"/>
    <col min="9" max="26" width="8.6640625" customWidth="1"/>
  </cols>
  <sheetData>
    <row r="2" spans="2:16" ht="31.5" customHeight="1" x14ac:dyDescent="0.3">
      <c r="B2" s="188" t="s">
        <v>312</v>
      </c>
      <c r="C2" s="188"/>
      <c r="D2" s="188"/>
      <c r="E2" s="188"/>
      <c r="F2" s="188"/>
      <c r="G2" s="188"/>
      <c r="H2" s="188"/>
    </row>
    <row r="4" spans="2:16" ht="25.5" customHeight="1" x14ac:dyDescent="0.3">
      <c r="B4" s="50" t="s">
        <v>313</v>
      </c>
      <c r="C4" s="50" t="s">
        <v>314</v>
      </c>
      <c r="D4" s="50" t="s">
        <v>311</v>
      </c>
      <c r="E4" s="50" t="s">
        <v>315</v>
      </c>
      <c r="F4" s="50" t="s">
        <v>316</v>
      </c>
      <c r="G4" s="50" t="s">
        <v>759</v>
      </c>
      <c r="H4" s="50" t="s">
        <v>317</v>
      </c>
    </row>
    <row r="5" spans="2:16" ht="15" customHeight="1" x14ac:dyDescent="0.3">
      <c r="B5" s="230" t="s">
        <v>318</v>
      </c>
      <c r="C5" s="230"/>
      <c r="D5" s="230"/>
      <c r="E5" s="230"/>
      <c r="F5" s="230"/>
      <c r="G5" s="230"/>
      <c r="H5" s="230"/>
      <c r="J5" s="231"/>
      <c r="K5" s="231"/>
      <c r="L5" s="231"/>
      <c r="M5" s="231"/>
      <c r="N5" s="231"/>
      <c r="O5" s="231"/>
      <c r="P5" s="231"/>
    </row>
    <row r="6" spans="2:16" ht="15" customHeight="1" x14ac:dyDescent="0.3">
      <c r="B6" s="122" t="s">
        <v>319</v>
      </c>
      <c r="C6" s="124" t="s">
        <v>320</v>
      </c>
      <c r="D6" s="123">
        <v>1995</v>
      </c>
      <c r="E6" s="123">
        <v>6981</v>
      </c>
      <c r="F6" s="123">
        <v>9990</v>
      </c>
      <c r="G6" s="123">
        <v>11490</v>
      </c>
      <c r="H6" s="123">
        <v>1339</v>
      </c>
    </row>
    <row r="7" spans="2:16" ht="18" customHeight="1" x14ac:dyDescent="0.3">
      <c r="B7" s="122" t="s">
        <v>321</v>
      </c>
      <c r="C7" s="124" t="s">
        <v>320</v>
      </c>
      <c r="D7" s="123">
        <v>1995</v>
      </c>
      <c r="E7" s="123">
        <v>6981</v>
      </c>
      <c r="F7" s="123">
        <v>9990</v>
      </c>
      <c r="G7" s="123">
        <v>11490</v>
      </c>
      <c r="H7" s="123">
        <v>1339</v>
      </c>
    </row>
    <row r="8" spans="2:16" ht="18" customHeight="1" x14ac:dyDescent="0.3">
      <c r="B8" s="122" t="s">
        <v>322</v>
      </c>
      <c r="C8" s="124" t="s">
        <v>320</v>
      </c>
      <c r="D8" s="123">
        <v>1995</v>
      </c>
      <c r="E8" s="123">
        <v>6981</v>
      </c>
      <c r="F8" s="123">
        <v>9990</v>
      </c>
      <c r="G8" s="123">
        <v>11490</v>
      </c>
      <c r="H8" s="123">
        <v>1339</v>
      </c>
    </row>
    <row r="9" spans="2:16" ht="18" customHeight="1" x14ac:dyDescent="0.3">
      <c r="B9" s="122" t="s">
        <v>323</v>
      </c>
      <c r="C9" s="124" t="s">
        <v>320</v>
      </c>
      <c r="D9" s="123">
        <v>1995</v>
      </c>
      <c r="E9" s="123">
        <v>6981</v>
      </c>
      <c r="F9" s="123">
        <v>8990</v>
      </c>
      <c r="G9" s="123">
        <v>10350</v>
      </c>
      <c r="H9" s="123">
        <v>1339</v>
      </c>
    </row>
    <row r="10" spans="2:16" ht="18" customHeight="1" x14ac:dyDescent="0.3">
      <c r="B10" s="122" t="s">
        <v>324</v>
      </c>
      <c r="C10" s="124" t="s">
        <v>320</v>
      </c>
      <c r="D10" s="123">
        <v>1995</v>
      </c>
      <c r="E10" s="123">
        <v>6981</v>
      </c>
      <c r="F10" s="123">
        <v>9990</v>
      </c>
      <c r="G10" s="123">
        <v>11490</v>
      </c>
      <c r="H10" s="123">
        <v>1339</v>
      </c>
    </row>
    <row r="11" spans="2:16" ht="18" customHeight="1" x14ac:dyDescent="0.3">
      <c r="B11" s="122" t="s">
        <v>325</v>
      </c>
      <c r="C11" s="124" t="s">
        <v>320</v>
      </c>
      <c r="D11" s="123">
        <v>1995</v>
      </c>
      <c r="E11" s="123">
        <v>6981</v>
      </c>
      <c r="F11" s="123">
        <v>9490</v>
      </c>
      <c r="G11" s="123">
        <v>10990</v>
      </c>
      <c r="H11" s="123">
        <v>1339</v>
      </c>
    </row>
    <row r="12" spans="2:16" ht="18" customHeight="1" x14ac:dyDescent="0.3">
      <c r="B12" s="122" t="s">
        <v>326</v>
      </c>
      <c r="C12" s="124" t="s">
        <v>320</v>
      </c>
      <c r="D12" s="123">
        <v>1995</v>
      </c>
      <c r="E12" s="123">
        <v>6981</v>
      </c>
      <c r="F12" s="123">
        <v>8990</v>
      </c>
      <c r="G12" s="123">
        <v>10350</v>
      </c>
      <c r="H12" s="123">
        <v>1339</v>
      </c>
    </row>
    <row r="13" spans="2:16" ht="18" customHeight="1" x14ac:dyDescent="0.3">
      <c r="B13" s="122" t="s">
        <v>327</v>
      </c>
      <c r="C13" s="124" t="s">
        <v>320</v>
      </c>
      <c r="D13" s="123">
        <v>1995</v>
      </c>
      <c r="E13" s="123">
        <v>6981</v>
      </c>
      <c r="F13" s="123">
        <v>9990</v>
      </c>
      <c r="G13" s="123">
        <v>11490</v>
      </c>
      <c r="H13" s="123">
        <v>1339</v>
      </c>
    </row>
    <row r="14" spans="2:16" ht="18" customHeight="1" x14ac:dyDescent="0.3">
      <c r="B14" s="122" t="s">
        <v>328</v>
      </c>
      <c r="C14" s="124" t="s">
        <v>320</v>
      </c>
      <c r="D14" s="123">
        <v>1995</v>
      </c>
      <c r="E14" s="123">
        <v>6981</v>
      </c>
      <c r="F14" s="123">
        <v>9490</v>
      </c>
      <c r="G14" s="123">
        <v>10990</v>
      </c>
      <c r="H14" s="123">
        <v>1339</v>
      </c>
    </row>
    <row r="15" spans="2:16" ht="18" customHeight="1" x14ac:dyDescent="0.3">
      <c r="B15" s="122" t="s">
        <v>329</v>
      </c>
      <c r="C15" s="124" t="s">
        <v>320</v>
      </c>
      <c r="D15" s="123">
        <v>1995</v>
      </c>
      <c r="E15" s="123">
        <v>6981</v>
      </c>
      <c r="F15" s="123">
        <v>9490</v>
      </c>
      <c r="G15" s="123">
        <v>10990</v>
      </c>
      <c r="H15" s="123">
        <v>1339</v>
      </c>
    </row>
    <row r="16" spans="2:16" ht="18" customHeight="1" x14ac:dyDescent="0.3">
      <c r="B16" s="122" t="s">
        <v>330</v>
      </c>
      <c r="C16" s="124" t="s">
        <v>320</v>
      </c>
      <c r="D16" s="123">
        <v>1995</v>
      </c>
      <c r="E16" s="123">
        <v>6981</v>
      </c>
      <c r="F16" s="123">
        <v>9990</v>
      </c>
      <c r="G16" s="123">
        <v>11490</v>
      </c>
      <c r="H16" s="123">
        <v>1339</v>
      </c>
    </row>
    <row r="17" spans="2:8" ht="18" customHeight="1" x14ac:dyDescent="0.3">
      <c r="B17" s="122" t="s">
        <v>331</v>
      </c>
      <c r="C17" s="124" t="s">
        <v>320</v>
      </c>
      <c r="D17" s="123">
        <v>1995</v>
      </c>
      <c r="E17" s="123">
        <v>6981</v>
      </c>
      <c r="F17" s="123">
        <v>9490</v>
      </c>
      <c r="G17" s="123">
        <v>10990</v>
      </c>
      <c r="H17" s="123">
        <v>1339</v>
      </c>
    </row>
    <row r="18" spans="2:8" ht="18" customHeight="1" x14ac:dyDescent="0.3">
      <c r="B18" s="122" t="s">
        <v>332</v>
      </c>
      <c r="C18" s="124" t="s">
        <v>320</v>
      </c>
      <c r="D18" s="123">
        <v>1995</v>
      </c>
      <c r="E18" s="123">
        <v>6981</v>
      </c>
      <c r="F18" s="123">
        <v>9490</v>
      </c>
      <c r="G18" s="123">
        <v>10990</v>
      </c>
      <c r="H18" s="123">
        <v>1339</v>
      </c>
    </row>
    <row r="19" spans="2:8" ht="18" customHeight="1" x14ac:dyDescent="0.3">
      <c r="B19" s="122" t="s">
        <v>333</v>
      </c>
      <c r="C19" s="124" t="s">
        <v>320</v>
      </c>
      <c r="D19" s="123">
        <v>1995</v>
      </c>
      <c r="E19" s="123">
        <v>6981</v>
      </c>
      <c r="F19" s="123">
        <v>9490</v>
      </c>
      <c r="G19" s="123">
        <v>10990</v>
      </c>
      <c r="H19" s="123">
        <v>1339</v>
      </c>
    </row>
    <row r="20" spans="2:8" ht="18" customHeight="1" x14ac:dyDescent="0.3">
      <c r="B20" s="122" t="s">
        <v>334</v>
      </c>
      <c r="C20" s="124" t="s">
        <v>320</v>
      </c>
      <c r="D20" s="123">
        <v>1995</v>
      </c>
      <c r="E20" s="123">
        <v>6981</v>
      </c>
      <c r="F20" s="123">
        <v>9990</v>
      </c>
      <c r="G20" s="123">
        <v>11490</v>
      </c>
      <c r="H20" s="123">
        <v>1339</v>
      </c>
    </row>
    <row r="21" spans="2:8" ht="18" customHeight="1" x14ac:dyDescent="0.3">
      <c r="B21" s="122" t="s">
        <v>335</v>
      </c>
      <c r="C21" s="124" t="s">
        <v>320</v>
      </c>
      <c r="D21" s="123">
        <v>1995</v>
      </c>
      <c r="E21" s="123">
        <v>6981</v>
      </c>
      <c r="F21" s="123">
        <v>8990</v>
      </c>
      <c r="G21" s="123">
        <v>10350</v>
      </c>
      <c r="H21" s="123">
        <v>1339</v>
      </c>
    </row>
    <row r="22" spans="2:8" ht="18" customHeight="1" x14ac:dyDescent="0.3">
      <c r="B22" s="122" t="s">
        <v>336</v>
      </c>
      <c r="C22" s="124" t="s">
        <v>320</v>
      </c>
      <c r="D22" s="123">
        <v>1995</v>
      </c>
      <c r="E22" s="123">
        <v>6981</v>
      </c>
      <c r="F22" s="123">
        <v>8990</v>
      </c>
      <c r="G22" s="123">
        <v>10350</v>
      </c>
      <c r="H22" s="123">
        <v>1339</v>
      </c>
    </row>
    <row r="23" spans="2:8" ht="18" customHeight="1" x14ac:dyDescent="0.3">
      <c r="B23" s="122" t="s">
        <v>337</v>
      </c>
      <c r="C23" s="124" t="s">
        <v>320</v>
      </c>
      <c r="D23" s="123">
        <v>1995</v>
      </c>
      <c r="E23" s="123">
        <v>6981</v>
      </c>
      <c r="F23" s="123">
        <v>9990</v>
      </c>
      <c r="G23" s="123">
        <v>11490</v>
      </c>
      <c r="H23" s="123">
        <v>1339</v>
      </c>
    </row>
    <row r="24" spans="2:8" ht="18" customHeight="1" x14ac:dyDescent="0.3">
      <c r="B24" s="122" t="s">
        <v>338</v>
      </c>
      <c r="C24" s="124" t="s">
        <v>320</v>
      </c>
      <c r="D24" s="123">
        <v>1995</v>
      </c>
      <c r="E24" s="123">
        <v>6981</v>
      </c>
      <c r="F24" s="123">
        <v>9990</v>
      </c>
      <c r="G24" s="123">
        <v>11490</v>
      </c>
      <c r="H24" s="123">
        <v>1339</v>
      </c>
    </row>
    <row r="25" spans="2:8" ht="18" customHeight="1" x14ac:dyDescent="0.3">
      <c r="B25" s="122" t="s">
        <v>339</v>
      </c>
      <c r="C25" s="124" t="s">
        <v>320</v>
      </c>
      <c r="D25" s="123">
        <v>1995</v>
      </c>
      <c r="E25" s="123">
        <v>6981</v>
      </c>
      <c r="F25" s="123">
        <v>9990</v>
      </c>
      <c r="G25" s="123">
        <v>11490</v>
      </c>
      <c r="H25" s="123">
        <v>1339</v>
      </c>
    </row>
    <row r="26" spans="2:8" ht="18" customHeight="1" x14ac:dyDescent="0.3">
      <c r="B26" s="122" t="s">
        <v>340</v>
      </c>
      <c r="C26" s="124" t="s">
        <v>320</v>
      </c>
      <c r="D26" s="123">
        <v>3419</v>
      </c>
      <c r="E26" s="123">
        <v>10543</v>
      </c>
      <c r="F26" s="123">
        <v>13990</v>
      </c>
      <c r="G26" s="123">
        <v>15990</v>
      </c>
      <c r="H26" s="123">
        <v>2328</v>
      </c>
    </row>
    <row r="27" spans="2:8" ht="18" customHeight="1" x14ac:dyDescent="0.3">
      <c r="B27" s="122" t="s">
        <v>341</v>
      </c>
      <c r="C27" s="124" t="s">
        <v>320</v>
      </c>
      <c r="D27" s="123">
        <v>3419</v>
      </c>
      <c r="E27" s="123">
        <v>10543</v>
      </c>
      <c r="F27" s="123">
        <v>13990</v>
      </c>
      <c r="G27" s="123">
        <v>15990</v>
      </c>
      <c r="H27" s="123">
        <v>2328</v>
      </c>
    </row>
    <row r="28" spans="2:8" ht="15.75" customHeight="1" x14ac:dyDescent="0.3"/>
    <row r="29" spans="2:8" ht="15" customHeight="1" x14ac:dyDescent="0.3">
      <c r="B29" s="191" t="s">
        <v>342</v>
      </c>
      <c r="C29" s="191"/>
      <c r="D29" s="191"/>
      <c r="E29" s="191"/>
      <c r="F29" s="191"/>
      <c r="G29" s="191"/>
      <c r="H29" s="191"/>
    </row>
    <row r="30" spans="2:8" ht="15.75" customHeight="1" x14ac:dyDescent="0.3">
      <c r="B30" s="191"/>
      <c r="C30" s="191"/>
      <c r="D30" s="191"/>
      <c r="E30" s="191"/>
      <c r="F30" s="191"/>
      <c r="G30" s="191"/>
      <c r="H30" s="191"/>
    </row>
    <row r="31" spans="2:8" ht="15.75" customHeight="1" x14ac:dyDescent="0.3"/>
    <row r="32" spans="2:8" ht="21.75" customHeight="1" x14ac:dyDescent="0.3">
      <c r="B32" s="230" t="s">
        <v>343</v>
      </c>
      <c r="C32" s="230"/>
      <c r="D32" s="230"/>
      <c r="E32" s="230"/>
      <c r="F32" s="230"/>
      <c r="G32" s="230"/>
      <c r="H32" s="230"/>
    </row>
    <row r="33" spans="2:8" ht="18" customHeight="1" x14ac:dyDescent="0.3">
      <c r="B33" s="95" t="s">
        <v>319</v>
      </c>
      <c r="C33" s="125" t="s">
        <v>344</v>
      </c>
      <c r="D33" s="96">
        <v>1561</v>
      </c>
      <c r="E33" s="96">
        <v>3435</v>
      </c>
      <c r="F33" s="96">
        <v>4990</v>
      </c>
      <c r="G33" s="96">
        <v>5550</v>
      </c>
      <c r="H33" s="96">
        <v>1077</v>
      </c>
    </row>
    <row r="34" spans="2:8" ht="18" customHeight="1" x14ac:dyDescent="0.3">
      <c r="B34" s="95" t="s">
        <v>321</v>
      </c>
      <c r="C34" s="125" t="s">
        <v>344</v>
      </c>
      <c r="D34" s="96">
        <v>1572</v>
      </c>
      <c r="E34" s="96">
        <v>3458</v>
      </c>
      <c r="F34" s="96">
        <v>4990</v>
      </c>
      <c r="G34" s="96">
        <v>5550</v>
      </c>
      <c r="H34" s="96">
        <v>1077</v>
      </c>
    </row>
    <row r="35" spans="2:8" ht="18" customHeight="1" x14ac:dyDescent="0.3">
      <c r="B35" s="95" t="s">
        <v>322</v>
      </c>
      <c r="C35" s="125" t="s">
        <v>344</v>
      </c>
      <c r="D35" s="96">
        <v>1572</v>
      </c>
      <c r="E35" s="96">
        <v>3458</v>
      </c>
      <c r="F35" s="96">
        <v>4990</v>
      </c>
      <c r="G35" s="96">
        <v>5550</v>
      </c>
      <c r="H35" s="96">
        <v>1077</v>
      </c>
    </row>
    <row r="36" spans="2:8" ht="18" customHeight="1" x14ac:dyDescent="0.3">
      <c r="B36" s="95" t="s">
        <v>324</v>
      </c>
      <c r="C36" s="125" t="s">
        <v>344</v>
      </c>
      <c r="D36" s="96">
        <v>1572</v>
      </c>
      <c r="E36" s="96">
        <v>3458</v>
      </c>
      <c r="F36" s="96">
        <v>4990</v>
      </c>
      <c r="G36" s="96">
        <v>5550</v>
      </c>
      <c r="H36" s="96">
        <v>1077</v>
      </c>
    </row>
    <row r="37" spans="2:8" ht="18" customHeight="1" x14ac:dyDescent="0.3">
      <c r="B37" s="95" t="s">
        <v>330</v>
      </c>
      <c r="C37" s="125" t="s">
        <v>344</v>
      </c>
      <c r="D37" s="96">
        <v>1572</v>
      </c>
      <c r="E37" s="96">
        <v>3458</v>
      </c>
      <c r="F37" s="96">
        <v>4550</v>
      </c>
      <c r="G37" s="96">
        <v>5250</v>
      </c>
      <c r="H37" s="96">
        <v>1077</v>
      </c>
    </row>
    <row r="38" spans="2:8" ht="18" customHeight="1" x14ac:dyDescent="0.3">
      <c r="B38" s="95" t="s">
        <v>331</v>
      </c>
      <c r="C38" s="125" t="s">
        <v>344</v>
      </c>
      <c r="D38" s="96">
        <v>1572</v>
      </c>
      <c r="E38" s="96">
        <v>3458</v>
      </c>
      <c r="F38" s="96">
        <v>4550</v>
      </c>
      <c r="G38" s="96">
        <v>5250</v>
      </c>
      <c r="H38" s="96">
        <v>1077</v>
      </c>
    </row>
    <row r="39" spans="2:8" ht="18" customHeight="1" x14ac:dyDescent="0.3">
      <c r="B39" s="95" t="s">
        <v>333</v>
      </c>
      <c r="C39" s="125" t="s">
        <v>344</v>
      </c>
      <c r="D39" s="96">
        <v>1572</v>
      </c>
      <c r="E39" s="96">
        <v>3458</v>
      </c>
      <c r="F39" s="96">
        <v>4550</v>
      </c>
      <c r="G39" s="96">
        <v>5250</v>
      </c>
      <c r="H39" s="96">
        <v>1077</v>
      </c>
    </row>
    <row r="40" spans="2:8" ht="18" customHeight="1" x14ac:dyDescent="0.3">
      <c r="B40" s="95" t="s">
        <v>334</v>
      </c>
      <c r="C40" s="125" t="s">
        <v>344</v>
      </c>
      <c r="D40" s="96">
        <v>1572</v>
      </c>
      <c r="E40" s="96">
        <v>3458</v>
      </c>
      <c r="F40" s="96">
        <v>4990</v>
      </c>
      <c r="G40" s="96">
        <v>5550</v>
      </c>
      <c r="H40" s="96">
        <v>1077</v>
      </c>
    </row>
    <row r="41" spans="2:8" ht="18" customHeight="1" x14ac:dyDescent="0.3">
      <c r="B41" s="95" t="s">
        <v>345</v>
      </c>
      <c r="C41" s="125" t="s">
        <v>344</v>
      </c>
      <c r="D41" s="96">
        <v>1572</v>
      </c>
      <c r="E41" s="96">
        <v>3458</v>
      </c>
      <c r="F41" s="96">
        <v>4550</v>
      </c>
      <c r="G41" s="96">
        <v>5250</v>
      </c>
      <c r="H41" s="96">
        <v>1077</v>
      </c>
    </row>
    <row r="42" spans="2:8" ht="18" customHeight="1" x14ac:dyDescent="0.3">
      <c r="B42" s="95" t="s">
        <v>336</v>
      </c>
      <c r="C42" s="125" t="s">
        <v>344</v>
      </c>
      <c r="D42" s="96">
        <v>1572</v>
      </c>
      <c r="E42" s="96">
        <v>3458</v>
      </c>
      <c r="F42" s="96">
        <v>4550</v>
      </c>
      <c r="G42" s="96">
        <v>5250</v>
      </c>
      <c r="H42" s="96">
        <v>1077</v>
      </c>
    </row>
    <row r="43" spans="2:8" ht="18" customHeight="1" x14ac:dyDescent="0.3">
      <c r="B43" s="95" t="s">
        <v>337</v>
      </c>
      <c r="C43" s="125" t="s">
        <v>344</v>
      </c>
      <c r="D43" s="96">
        <v>1572</v>
      </c>
      <c r="E43" s="96">
        <v>3458</v>
      </c>
      <c r="F43" s="96">
        <v>4990</v>
      </c>
      <c r="G43" s="96">
        <v>5550</v>
      </c>
      <c r="H43" s="96">
        <v>1077</v>
      </c>
    </row>
    <row r="44" spans="2:8" ht="15.75" customHeight="1" x14ac:dyDescent="0.3"/>
    <row r="45" spans="2:8" ht="21.75" customHeight="1" x14ac:dyDescent="0.3">
      <c r="B45" s="230" t="s">
        <v>346</v>
      </c>
      <c r="C45" s="230"/>
      <c r="D45" s="230"/>
      <c r="E45" s="230"/>
      <c r="F45" s="230"/>
      <c r="G45" s="230"/>
      <c r="H45" s="230"/>
    </row>
    <row r="46" spans="2:8" ht="18" customHeight="1" x14ac:dyDescent="0.3">
      <c r="B46" s="95" t="s">
        <v>347</v>
      </c>
      <c r="C46" s="125" t="s">
        <v>348</v>
      </c>
      <c r="D46" s="96">
        <v>7964</v>
      </c>
      <c r="E46" s="126"/>
      <c r="F46" s="96">
        <v>14950</v>
      </c>
      <c r="G46" s="96">
        <v>14950</v>
      </c>
      <c r="H46" s="96">
        <v>5345</v>
      </c>
    </row>
    <row r="47" spans="2:8" ht="15.75" customHeight="1" x14ac:dyDescent="0.3">
      <c r="B47" s="191" t="s">
        <v>349</v>
      </c>
      <c r="C47" s="191"/>
      <c r="D47" s="191"/>
      <c r="E47" s="191"/>
      <c r="F47" s="191"/>
      <c r="G47" s="191"/>
      <c r="H47" s="191"/>
    </row>
    <row r="48" spans="2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7">
    <mergeCell ref="B45:H45"/>
    <mergeCell ref="B47:H47"/>
    <mergeCell ref="B2:H2"/>
    <mergeCell ref="B5:H5"/>
    <mergeCell ref="J5:P5"/>
    <mergeCell ref="B29:H30"/>
    <mergeCell ref="B32:H3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1001"/>
  <sheetViews>
    <sheetView showGridLines="0" topLeftCell="A3" zoomScaleNormal="100" workbookViewId="0">
      <selection activeCell="G17" sqref="G17"/>
    </sheetView>
  </sheetViews>
  <sheetFormatPr defaultColWidth="14.44140625" defaultRowHeight="14.4" x14ac:dyDescent="0.3"/>
  <cols>
    <col min="1" max="1" width="2" customWidth="1"/>
    <col min="2" max="2" width="39.88671875" customWidth="1"/>
    <col min="3" max="3" width="25.6640625" customWidth="1"/>
    <col min="4" max="4" width="23.21875" customWidth="1"/>
    <col min="5" max="5" width="4" customWidth="1"/>
    <col min="6" max="6" width="15" customWidth="1"/>
    <col min="7" max="7" width="28" customWidth="1"/>
    <col min="8" max="8" width="8.6640625" customWidth="1"/>
    <col min="9" max="9" width="59.6640625" customWidth="1"/>
    <col min="10" max="26" width="8.6640625" customWidth="1"/>
  </cols>
  <sheetData>
    <row r="2" spans="2:9" ht="31.5" customHeight="1" x14ac:dyDescent="0.3">
      <c r="B2" s="188" t="s">
        <v>350</v>
      </c>
      <c r="C2" s="188"/>
      <c r="D2" s="188"/>
      <c r="E2" s="188"/>
      <c r="F2" s="188"/>
      <c r="G2" s="188"/>
    </row>
    <row r="4" spans="2:9" ht="30" customHeight="1" x14ac:dyDescent="0.3">
      <c r="B4" s="189" t="s">
        <v>351</v>
      </c>
      <c r="C4" s="189"/>
      <c r="D4" s="189"/>
      <c r="E4" s="189"/>
      <c r="F4" s="189"/>
      <c r="G4" s="189"/>
    </row>
    <row r="6" spans="2:9" s="177" customFormat="1" ht="54.6" customHeight="1" x14ac:dyDescent="0.3">
      <c r="B6" s="181" t="s">
        <v>272</v>
      </c>
      <c r="C6" s="181" t="s">
        <v>756</v>
      </c>
      <c r="D6" s="181" t="s">
        <v>757</v>
      </c>
      <c r="E6" s="176"/>
      <c r="F6" s="176"/>
      <c r="G6" s="176"/>
      <c r="I6" s="178"/>
    </row>
    <row r="7" spans="2:9" s="177" customFormat="1" ht="35.4" customHeight="1" x14ac:dyDescent="0.3">
      <c r="B7" s="182" t="s">
        <v>275</v>
      </c>
      <c r="C7" s="183">
        <v>65000</v>
      </c>
      <c r="D7" s="183">
        <v>48000</v>
      </c>
      <c r="E7" s="179"/>
      <c r="F7" s="179"/>
      <c r="G7" s="180"/>
    </row>
    <row r="8" spans="2:9" s="177" customFormat="1" ht="35.4" customHeight="1" x14ac:dyDescent="0.3">
      <c r="B8" s="182" t="s">
        <v>276</v>
      </c>
      <c r="C8" s="183">
        <v>180000</v>
      </c>
      <c r="D8" s="183">
        <v>130000</v>
      </c>
      <c r="E8" s="179"/>
      <c r="F8" s="179"/>
      <c r="G8" s="180"/>
    </row>
    <row r="9" spans="2:9" s="177" customFormat="1" ht="35.4" customHeight="1" x14ac:dyDescent="0.3">
      <c r="B9" s="182" t="s">
        <v>277</v>
      </c>
      <c r="C9" s="183">
        <v>180000</v>
      </c>
      <c r="D9" s="183">
        <v>130000</v>
      </c>
      <c r="E9" s="179"/>
      <c r="F9" s="179"/>
      <c r="G9" s="180"/>
    </row>
    <row r="10" spans="2:9" s="177" customFormat="1" ht="35.4" customHeight="1" x14ac:dyDescent="0.3">
      <c r="B10" s="182" t="s">
        <v>278</v>
      </c>
      <c r="C10" s="183">
        <v>225000</v>
      </c>
      <c r="D10" s="183">
        <v>160000</v>
      </c>
      <c r="E10" s="179"/>
      <c r="F10" s="179"/>
      <c r="G10" s="180"/>
    </row>
    <row r="11" spans="2:9" s="177" customFormat="1" ht="35.4" customHeight="1" x14ac:dyDescent="0.3">
      <c r="B11" s="182" t="s">
        <v>279</v>
      </c>
      <c r="C11" s="183">
        <v>300000</v>
      </c>
      <c r="D11" s="183">
        <v>200000</v>
      </c>
      <c r="E11" s="179"/>
      <c r="F11" s="179"/>
      <c r="G11" s="180"/>
    </row>
    <row r="12" spans="2:9" s="177" customFormat="1" ht="35.4" customHeight="1" x14ac:dyDescent="0.3">
      <c r="B12" s="182" t="s">
        <v>280</v>
      </c>
      <c r="C12" s="183">
        <v>300000</v>
      </c>
      <c r="D12" s="183">
        <v>200000</v>
      </c>
      <c r="E12" s="179"/>
      <c r="F12" s="179"/>
      <c r="G12" s="180"/>
    </row>
    <row r="13" spans="2:9" s="177" customFormat="1" ht="35.4" customHeight="1" x14ac:dyDescent="0.3">
      <c r="B13" s="182" t="s">
        <v>281</v>
      </c>
      <c r="C13" s="183">
        <v>400000</v>
      </c>
      <c r="D13" s="183">
        <v>300000</v>
      </c>
      <c r="E13" s="179"/>
      <c r="F13" s="179"/>
      <c r="G13" s="180"/>
    </row>
    <row r="14" spans="2:9" s="177" customFormat="1" ht="35.4" customHeight="1" x14ac:dyDescent="0.3">
      <c r="B14" s="182" t="s">
        <v>282</v>
      </c>
      <c r="C14" s="183">
        <v>450000</v>
      </c>
      <c r="D14" s="183">
        <v>350000</v>
      </c>
      <c r="E14" s="179"/>
      <c r="F14" s="179"/>
      <c r="G14" s="180"/>
    </row>
    <row r="15" spans="2:9" s="177" customFormat="1" ht="35.4" customHeight="1" x14ac:dyDescent="0.3">
      <c r="B15" s="182" t="s">
        <v>283</v>
      </c>
      <c r="C15" s="183">
        <v>500000</v>
      </c>
      <c r="D15" s="183">
        <v>400000</v>
      </c>
      <c r="E15" s="179"/>
      <c r="F15" s="179"/>
      <c r="G15" s="180"/>
    </row>
    <row r="16" spans="2:9" s="177" customFormat="1" ht="35.4" customHeight="1" x14ac:dyDescent="0.3">
      <c r="B16" s="182" t="s">
        <v>284</v>
      </c>
      <c r="C16" s="183">
        <v>850000</v>
      </c>
      <c r="D16" s="183">
        <v>700000</v>
      </c>
      <c r="E16" s="179"/>
      <c r="F16" s="179"/>
      <c r="G16" s="180"/>
    </row>
    <row r="17" spans="2:7" s="177" customFormat="1" ht="35.4" customHeight="1" x14ac:dyDescent="0.3">
      <c r="B17" s="182" t="s">
        <v>285</v>
      </c>
      <c r="C17" s="183">
        <v>850000</v>
      </c>
      <c r="D17" s="183">
        <v>700000</v>
      </c>
      <c r="E17" s="179"/>
      <c r="F17" s="179"/>
      <c r="G17" s="180"/>
    </row>
    <row r="18" spans="2:7" s="177" customFormat="1" ht="35.4" customHeight="1" x14ac:dyDescent="0.3">
      <c r="B18" s="182" t="s">
        <v>286</v>
      </c>
      <c r="C18" s="183">
        <v>1650000</v>
      </c>
      <c r="D18" s="183">
        <v>1300000</v>
      </c>
      <c r="E18" s="179"/>
      <c r="F18" s="179"/>
      <c r="G18" s="180"/>
    </row>
    <row r="19" spans="2:7" s="177" customFormat="1" ht="35.4" customHeight="1" x14ac:dyDescent="0.3">
      <c r="B19" s="182" t="s">
        <v>287</v>
      </c>
      <c r="C19" s="183">
        <v>2050000</v>
      </c>
      <c r="D19" s="183">
        <v>1800000</v>
      </c>
      <c r="E19" s="179"/>
      <c r="F19" s="179"/>
      <c r="G19" s="180"/>
    </row>
    <row r="20" spans="2:7" s="177" customFormat="1" ht="12.6" customHeight="1" x14ac:dyDescent="0.3">
      <c r="B20" s="185"/>
      <c r="C20" s="186"/>
      <c r="D20" s="186"/>
      <c r="E20" s="179"/>
      <c r="F20" s="179"/>
      <c r="G20" s="180"/>
    </row>
    <row r="21" spans="2:7" ht="25.8" customHeight="1" x14ac:dyDescent="0.35">
      <c r="B21" s="187" t="s">
        <v>755</v>
      </c>
      <c r="C21" s="184"/>
      <c r="D21" s="184"/>
    </row>
    <row r="22" spans="2:7" ht="15" customHeight="1" x14ac:dyDescent="0.3">
      <c r="B22" s="34"/>
    </row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">
    <mergeCell ref="B2:G2"/>
    <mergeCell ref="B4:G4"/>
  </mergeCells>
  <pageMargins left="0.75" right="0.75" top="1" bottom="1" header="0.511811023622047" footer="0.511811023622047"/>
  <pageSetup paperSize="9" scale="62" fitToHeight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R1007"/>
  <sheetViews>
    <sheetView showGridLines="0" topLeftCell="A5" zoomScaleNormal="100" workbookViewId="0">
      <selection activeCell="C20" sqref="C20"/>
    </sheetView>
  </sheetViews>
  <sheetFormatPr defaultColWidth="14.44140625" defaultRowHeight="14.4" x14ac:dyDescent="0.3"/>
  <cols>
    <col min="1" max="1" width="2" customWidth="1"/>
    <col min="2" max="2" width="28" customWidth="1"/>
    <col min="3" max="3" width="13" customWidth="1"/>
    <col min="4" max="5" width="8.6640625" customWidth="1"/>
    <col min="6" max="6" width="11.109375" customWidth="1"/>
    <col min="7" max="9" width="8.6640625" customWidth="1"/>
    <col min="10" max="10" width="30" customWidth="1"/>
    <col min="11" max="11" width="2" customWidth="1"/>
    <col min="12" max="26" width="8.6640625" customWidth="1"/>
  </cols>
  <sheetData>
    <row r="1" spans="2:18" ht="15" customHeight="1" x14ac:dyDescent="0.3"/>
    <row r="2" spans="2:18" ht="31.5" customHeight="1" x14ac:dyDescent="0.3">
      <c r="B2" s="209" t="s">
        <v>352</v>
      </c>
      <c r="C2" s="209"/>
      <c r="D2" s="209"/>
      <c r="E2" s="209"/>
      <c r="F2" s="209"/>
      <c r="G2" s="209"/>
      <c r="H2" s="209"/>
      <c r="I2" s="209"/>
      <c r="J2" s="209"/>
    </row>
    <row r="3" spans="2:18" ht="15" customHeight="1" x14ac:dyDescent="0.3"/>
    <row r="4" spans="2:18" ht="39.75" customHeight="1" x14ac:dyDescent="0.3">
      <c r="B4" s="207" t="s">
        <v>353</v>
      </c>
      <c r="C4" s="207"/>
      <c r="D4" s="207"/>
      <c r="E4" s="207"/>
      <c r="F4" s="207"/>
      <c r="G4" s="207"/>
      <c r="H4" s="207"/>
      <c r="I4" s="207"/>
      <c r="J4" s="207"/>
    </row>
    <row r="5" spans="2:18" ht="15" customHeight="1" x14ac:dyDescent="0.3"/>
    <row r="6" spans="2:18" ht="18" customHeight="1" x14ac:dyDescent="0.3">
      <c r="B6" s="234" t="s">
        <v>354</v>
      </c>
      <c r="C6" s="234"/>
      <c r="E6" s="234" t="s">
        <v>355</v>
      </c>
      <c r="F6" s="234"/>
      <c r="H6" s="234" t="s">
        <v>733</v>
      </c>
      <c r="I6" s="234"/>
      <c r="K6" s="234" t="s">
        <v>356</v>
      </c>
      <c r="L6" s="234"/>
    </row>
    <row r="7" spans="2:18" ht="31.5" customHeight="1" x14ac:dyDescent="0.3">
      <c r="B7" s="235" t="s">
        <v>357</v>
      </c>
      <c r="C7" s="235"/>
      <c r="E7" s="235" t="s">
        <v>358</v>
      </c>
      <c r="F7" s="235"/>
      <c r="H7" s="235">
        <v>715</v>
      </c>
      <c r="I7" s="235"/>
      <c r="K7" s="235" t="s">
        <v>761</v>
      </c>
      <c r="L7" s="235"/>
    </row>
    <row r="8" spans="2:18" ht="27.75" customHeight="1" x14ac:dyDescent="0.3">
      <c r="B8" s="233" t="s">
        <v>359</v>
      </c>
      <c r="C8" s="233"/>
      <c r="E8" s="233" t="s">
        <v>360</v>
      </c>
      <c r="F8" s="233"/>
      <c r="H8" s="233" t="s">
        <v>361</v>
      </c>
      <c r="I8" s="233"/>
      <c r="K8" s="233" t="s">
        <v>362</v>
      </c>
      <c r="L8" s="233"/>
    </row>
    <row r="9" spans="2:18" ht="15" customHeight="1" x14ac:dyDescent="0.3"/>
    <row r="10" spans="2:18" ht="15" customHeight="1" x14ac:dyDescent="0.3"/>
    <row r="11" spans="2:18" ht="21.75" customHeight="1" x14ac:dyDescent="0.3">
      <c r="B11" s="195" t="s">
        <v>363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8" ht="30" customHeight="1" x14ac:dyDescent="0.3">
      <c r="B12" s="29" t="s">
        <v>364</v>
      </c>
      <c r="C12" s="29" t="s">
        <v>365</v>
      </c>
      <c r="D12" s="29" t="s">
        <v>366</v>
      </c>
      <c r="E12" s="29" t="s">
        <v>730</v>
      </c>
      <c r="F12" s="29" t="s">
        <v>732</v>
      </c>
      <c r="G12" s="29" t="s">
        <v>367</v>
      </c>
      <c r="H12" s="29" t="s">
        <v>368</v>
      </c>
      <c r="I12" s="29" t="s">
        <v>369</v>
      </c>
      <c r="J12" s="29" t="s">
        <v>18</v>
      </c>
      <c r="M12" s="229"/>
      <c r="N12" s="229"/>
      <c r="O12" s="229"/>
      <c r="P12" s="229"/>
      <c r="Q12" s="229"/>
      <c r="R12" s="229"/>
    </row>
    <row r="13" spans="2:18" ht="25.5" customHeight="1" x14ac:dyDescent="0.3">
      <c r="B13" s="127" t="s">
        <v>300</v>
      </c>
      <c r="C13" s="128">
        <v>2</v>
      </c>
      <c r="D13" s="128">
        <v>8</v>
      </c>
      <c r="E13" s="129">
        <v>14</v>
      </c>
      <c r="F13" s="130">
        <f>D13*E13</f>
        <v>112</v>
      </c>
      <c r="G13" s="54">
        <v>3</v>
      </c>
      <c r="H13" s="54">
        <v>24</v>
      </c>
      <c r="I13" s="54">
        <v>2</v>
      </c>
      <c r="J13" s="127" t="s">
        <v>370</v>
      </c>
      <c r="M13" s="229"/>
      <c r="N13" s="229"/>
      <c r="O13" s="229"/>
      <c r="P13" s="229"/>
      <c r="Q13" s="229"/>
      <c r="R13" s="229"/>
    </row>
    <row r="14" spans="2:18" ht="24.75" customHeight="1" x14ac:dyDescent="0.3">
      <c r="B14" s="127" t="s">
        <v>371</v>
      </c>
      <c r="C14" s="128">
        <v>2</v>
      </c>
      <c r="D14" s="128">
        <v>8</v>
      </c>
      <c r="E14" s="129">
        <v>39</v>
      </c>
      <c r="F14" s="130">
        <f t="shared" ref="F14:F19" si="0">D14*E14</f>
        <v>312</v>
      </c>
      <c r="G14" s="54">
        <v>4</v>
      </c>
      <c r="H14" s="54">
        <v>32</v>
      </c>
      <c r="I14" s="54">
        <v>1</v>
      </c>
      <c r="J14" s="127"/>
      <c r="M14" s="229"/>
      <c r="N14" s="229"/>
      <c r="O14" s="229"/>
      <c r="P14" s="229"/>
      <c r="Q14" s="229"/>
      <c r="R14" s="229"/>
    </row>
    <row r="15" spans="2:18" ht="24.75" customHeight="1" x14ac:dyDescent="0.3">
      <c r="B15" s="127" t="s">
        <v>372</v>
      </c>
      <c r="C15" s="128">
        <v>3</v>
      </c>
      <c r="D15" s="128">
        <v>7</v>
      </c>
      <c r="E15" s="129">
        <v>14</v>
      </c>
      <c r="F15" s="130">
        <f t="shared" si="0"/>
        <v>98</v>
      </c>
      <c r="G15" s="54">
        <v>4</v>
      </c>
      <c r="H15" s="54">
        <v>28</v>
      </c>
      <c r="I15" s="54">
        <v>1</v>
      </c>
      <c r="J15" s="127" t="s">
        <v>373</v>
      </c>
      <c r="M15" s="229"/>
      <c r="N15" s="229"/>
      <c r="O15" s="229"/>
      <c r="P15" s="229"/>
      <c r="Q15" s="229"/>
      <c r="R15" s="229"/>
    </row>
    <row r="16" spans="2:18" ht="21.75" customHeight="1" x14ac:dyDescent="0.3">
      <c r="B16" s="127" t="s">
        <v>304</v>
      </c>
      <c r="C16" s="128">
        <v>5</v>
      </c>
      <c r="D16" s="128">
        <v>4</v>
      </c>
      <c r="E16" s="129">
        <v>26</v>
      </c>
      <c r="F16" s="130">
        <f t="shared" si="0"/>
        <v>104</v>
      </c>
      <c r="G16" s="54">
        <v>3</v>
      </c>
      <c r="H16" s="54">
        <v>12</v>
      </c>
      <c r="I16" s="54">
        <v>3</v>
      </c>
      <c r="J16" s="127" t="s">
        <v>374</v>
      </c>
      <c r="M16" s="229"/>
      <c r="N16" s="229"/>
      <c r="O16" s="229"/>
      <c r="P16" s="229"/>
      <c r="Q16" s="229"/>
      <c r="R16" s="229"/>
    </row>
    <row r="17" spans="2:18" ht="24" customHeight="1" x14ac:dyDescent="0.3">
      <c r="B17" s="127" t="s">
        <v>375</v>
      </c>
      <c r="C17" s="128">
        <v>1</v>
      </c>
      <c r="D17" s="128">
        <v>1</v>
      </c>
      <c r="E17" s="129">
        <v>14</v>
      </c>
      <c r="F17" s="130">
        <f t="shared" si="0"/>
        <v>14</v>
      </c>
      <c r="G17" s="54">
        <v>4</v>
      </c>
      <c r="H17" s="54">
        <v>4</v>
      </c>
      <c r="I17" s="54">
        <v>1</v>
      </c>
      <c r="J17" s="127" t="s">
        <v>376</v>
      </c>
      <c r="M17" s="229"/>
      <c r="N17" s="229"/>
      <c r="O17" s="229"/>
      <c r="P17" s="229"/>
      <c r="Q17" s="229"/>
      <c r="R17" s="229"/>
    </row>
    <row r="18" spans="2:18" ht="23.25" customHeight="1" x14ac:dyDescent="0.3">
      <c r="B18" s="127" t="s">
        <v>306</v>
      </c>
      <c r="C18" s="128">
        <v>1</v>
      </c>
      <c r="D18" s="128">
        <v>1</v>
      </c>
      <c r="E18" s="129">
        <v>58</v>
      </c>
      <c r="F18" s="130">
        <f t="shared" si="0"/>
        <v>58</v>
      </c>
      <c r="G18" s="54" t="s">
        <v>377</v>
      </c>
      <c r="H18" s="54">
        <v>0</v>
      </c>
      <c r="I18" s="54" t="s">
        <v>378</v>
      </c>
      <c r="J18" s="127" t="s">
        <v>379</v>
      </c>
      <c r="M18" s="229"/>
      <c r="N18" s="229"/>
      <c r="O18" s="229"/>
      <c r="P18" s="229"/>
      <c r="Q18" s="229"/>
      <c r="R18" s="229"/>
    </row>
    <row r="19" spans="2:18" ht="24.75" customHeight="1" x14ac:dyDescent="0.3">
      <c r="B19" s="127" t="s">
        <v>731</v>
      </c>
      <c r="C19" s="128">
        <v>0</v>
      </c>
      <c r="D19" s="128">
        <v>1</v>
      </c>
      <c r="E19" s="129">
        <v>17</v>
      </c>
      <c r="F19" s="130">
        <f t="shared" si="0"/>
        <v>17</v>
      </c>
      <c r="G19" s="54">
        <v>4</v>
      </c>
      <c r="H19" s="54">
        <v>4</v>
      </c>
      <c r="I19" s="54">
        <v>3</v>
      </c>
      <c r="J19" s="127" t="s">
        <v>380</v>
      </c>
      <c r="M19" s="229"/>
      <c r="N19" s="229"/>
      <c r="O19" s="229"/>
      <c r="P19" s="229"/>
      <c r="Q19" s="229"/>
      <c r="R19" s="229"/>
    </row>
    <row r="20" spans="2:18" ht="24.75" customHeight="1" x14ac:dyDescent="0.3">
      <c r="B20" s="127" t="s">
        <v>760</v>
      </c>
      <c r="C20" s="128">
        <v>1</v>
      </c>
      <c r="D20" s="128">
        <v>0</v>
      </c>
      <c r="E20" s="129"/>
      <c r="F20" s="130"/>
      <c r="G20" s="54"/>
      <c r="H20" s="54"/>
      <c r="I20" s="54"/>
      <c r="J20" s="127"/>
      <c r="M20" s="156"/>
      <c r="N20" s="156"/>
      <c r="O20" s="156"/>
      <c r="P20" s="156"/>
      <c r="Q20" s="156"/>
      <c r="R20" s="156"/>
    </row>
    <row r="21" spans="2:18" ht="24.75" customHeight="1" x14ac:dyDescent="0.3">
      <c r="B21" s="127" t="s">
        <v>17</v>
      </c>
      <c r="C21" s="128">
        <v>0</v>
      </c>
      <c r="D21" s="128">
        <v>20</v>
      </c>
      <c r="E21" s="129"/>
      <c r="F21" s="130"/>
      <c r="G21" s="54"/>
      <c r="H21" s="54"/>
      <c r="I21" s="54">
        <v>5</v>
      </c>
      <c r="J21" s="127"/>
      <c r="M21" s="156"/>
      <c r="N21" s="156"/>
      <c r="O21" s="156"/>
      <c r="P21" s="156"/>
      <c r="Q21" s="156"/>
      <c r="R21" s="156"/>
    </row>
    <row r="22" spans="2:18" ht="21.75" customHeight="1" x14ac:dyDescent="0.3">
      <c r="B22" s="131" t="s">
        <v>381</v>
      </c>
      <c r="C22" s="245">
        <f>SUM(C13:C21)</f>
        <v>15</v>
      </c>
      <c r="D22" s="132">
        <v>30</v>
      </c>
      <c r="E22" s="132"/>
      <c r="F22" s="133">
        <f>SUM(F13:F19)</f>
        <v>715</v>
      </c>
      <c r="G22" s="132"/>
      <c r="H22" s="132">
        <v>104</v>
      </c>
      <c r="I22" s="132"/>
      <c r="J22" s="132"/>
    </row>
    <row r="23" spans="2:18" ht="15.75" customHeight="1" x14ac:dyDescent="0.3"/>
    <row r="24" spans="2:18" ht="15.75" customHeight="1" x14ac:dyDescent="0.3">
      <c r="B24" s="230" t="s">
        <v>750</v>
      </c>
      <c r="C24" s="230"/>
      <c r="D24" s="230"/>
      <c r="E24" s="230"/>
      <c r="F24" s="230"/>
      <c r="G24" s="230"/>
      <c r="H24" s="230"/>
    </row>
    <row r="25" spans="2:18" ht="15.75" customHeight="1" x14ac:dyDescent="0.3">
      <c r="B25" s="29" t="s">
        <v>402</v>
      </c>
      <c r="C25" s="29" t="s">
        <v>86</v>
      </c>
      <c r="D25" s="29" t="s">
        <v>87</v>
      </c>
      <c r="E25" s="29" t="s">
        <v>88</v>
      </c>
      <c r="F25" s="29" t="s">
        <v>89</v>
      </c>
      <c r="G25" s="29" t="s">
        <v>90</v>
      </c>
    </row>
    <row r="26" spans="2:18" ht="15.75" customHeight="1" x14ac:dyDescent="0.3">
      <c r="B26" s="30" t="s">
        <v>19</v>
      </c>
      <c r="C26" s="135">
        <v>30</v>
      </c>
      <c r="D26" s="136">
        <v>7</v>
      </c>
      <c r="E26" s="136">
        <v>8</v>
      </c>
      <c r="F26" s="136">
        <v>7</v>
      </c>
      <c r="G26" s="136">
        <v>8</v>
      </c>
    </row>
    <row r="27" spans="2:18" ht="15.75" customHeight="1" x14ac:dyDescent="0.3">
      <c r="B27" s="30" t="s">
        <v>751</v>
      </c>
      <c r="C27" s="135">
        <v>715</v>
      </c>
      <c r="D27" s="136">
        <f>C27/30*7</f>
        <v>166.83333333333331</v>
      </c>
      <c r="E27" s="136">
        <f>C27/30*8</f>
        <v>190.66666666666666</v>
      </c>
      <c r="F27" s="136">
        <f>C27/30*7</f>
        <v>166.83333333333331</v>
      </c>
      <c r="G27" s="136">
        <f>C27/30*8</f>
        <v>190.66666666666666</v>
      </c>
    </row>
    <row r="28" spans="2:18" ht="15.75" customHeight="1" x14ac:dyDescent="0.3"/>
    <row r="29" spans="2:18" ht="21.75" customHeight="1" x14ac:dyDescent="0.3">
      <c r="B29" s="195" t="s">
        <v>382</v>
      </c>
      <c r="C29" s="195"/>
      <c r="D29" s="195"/>
      <c r="E29" s="195"/>
      <c r="F29" s="195"/>
      <c r="G29" s="195"/>
      <c r="H29" s="195"/>
      <c r="I29" s="195"/>
      <c r="J29" s="195"/>
      <c r="K29" s="195"/>
    </row>
    <row r="30" spans="2:18" ht="49.5" customHeight="1" x14ac:dyDescent="0.3">
      <c r="B30" s="207" t="s">
        <v>383</v>
      </c>
      <c r="C30" s="207"/>
      <c r="D30" s="207"/>
      <c r="E30" s="207"/>
      <c r="F30" s="207"/>
      <c r="G30" s="207"/>
      <c r="H30" s="207"/>
      <c r="I30" s="207"/>
      <c r="J30" s="207"/>
      <c r="K30" s="207"/>
    </row>
    <row r="31" spans="2:18" ht="15.75" customHeight="1" x14ac:dyDescent="0.3"/>
    <row r="32" spans="2:18" ht="21.75" customHeight="1" x14ac:dyDescent="0.3">
      <c r="B32" s="195" t="s">
        <v>384</v>
      </c>
      <c r="C32" s="195"/>
      <c r="D32" s="195"/>
      <c r="E32" s="195"/>
      <c r="F32" s="195"/>
      <c r="G32" s="195"/>
      <c r="H32" s="195"/>
      <c r="I32" s="195"/>
      <c r="J32" s="195"/>
      <c r="K32" s="195"/>
    </row>
    <row r="33" spans="2:11" ht="30" customHeight="1" x14ac:dyDescent="0.3">
      <c r="B33" s="29" t="s">
        <v>13</v>
      </c>
      <c r="C33" s="29" t="s">
        <v>385</v>
      </c>
      <c r="D33" s="29" t="s">
        <v>14</v>
      </c>
      <c r="E33" s="29" t="s">
        <v>355</v>
      </c>
      <c r="F33" s="29" t="s">
        <v>386</v>
      </c>
    </row>
    <row r="34" spans="2:11" ht="57" x14ac:dyDescent="0.3">
      <c r="B34" s="127" t="s">
        <v>387</v>
      </c>
      <c r="C34" s="127" t="s">
        <v>23</v>
      </c>
      <c r="D34" s="127" t="s">
        <v>25</v>
      </c>
      <c r="E34" s="54" t="s">
        <v>388</v>
      </c>
      <c r="F34" s="127" t="s">
        <v>389</v>
      </c>
    </row>
    <row r="35" spans="2:11" ht="68.400000000000006" x14ac:dyDescent="0.3">
      <c r="B35" s="127" t="s">
        <v>390</v>
      </c>
      <c r="C35" s="127" t="s">
        <v>28</v>
      </c>
      <c r="D35" s="127" t="s">
        <v>30</v>
      </c>
      <c r="E35" s="54" t="s">
        <v>734</v>
      </c>
      <c r="F35" s="127" t="s">
        <v>391</v>
      </c>
    </row>
    <row r="36" spans="2:11" ht="21.75" customHeight="1" x14ac:dyDescent="0.3">
      <c r="B36" s="131" t="s">
        <v>392</v>
      </c>
      <c r="C36" s="132"/>
      <c r="D36" s="132"/>
      <c r="E36" s="132" t="s">
        <v>734</v>
      </c>
      <c r="F36" s="132"/>
    </row>
    <row r="37" spans="2:11" ht="15.75" customHeight="1" x14ac:dyDescent="0.3"/>
    <row r="38" spans="2:11" ht="21.75" customHeight="1" x14ac:dyDescent="0.3">
      <c r="B38" s="195" t="s">
        <v>393</v>
      </c>
      <c r="C38" s="195"/>
      <c r="D38" s="195"/>
      <c r="E38" s="195"/>
      <c r="F38" s="195"/>
      <c r="G38" s="195"/>
      <c r="H38" s="195"/>
      <c r="I38" s="195"/>
      <c r="J38" s="195"/>
      <c r="K38" s="195"/>
    </row>
    <row r="39" spans="2:11" ht="27.75" customHeight="1" x14ac:dyDescent="0.3">
      <c r="B39" s="232" t="s">
        <v>394</v>
      </c>
      <c r="C39" s="232"/>
      <c r="D39" s="232"/>
      <c r="E39" s="232"/>
      <c r="F39" s="232"/>
      <c r="G39" s="232"/>
      <c r="H39" s="232"/>
      <c r="I39" s="232"/>
      <c r="J39" s="232"/>
      <c r="K39" s="232"/>
    </row>
    <row r="40" spans="2:11" ht="27.75" customHeight="1" x14ac:dyDescent="0.3">
      <c r="B40" s="232" t="s">
        <v>395</v>
      </c>
      <c r="C40" s="232"/>
      <c r="D40" s="232"/>
      <c r="E40" s="232"/>
      <c r="F40" s="232"/>
      <c r="G40" s="232"/>
      <c r="H40" s="232"/>
      <c r="I40" s="232"/>
      <c r="J40" s="232"/>
      <c r="K40" s="232"/>
    </row>
    <row r="41" spans="2:11" ht="27.75" customHeight="1" x14ac:dyDescent="0.3">
      <c r="B41" s="232" t="s">
        <v>396</v>
      </c>
      <c r="C41" s="232"/>
      <c r="D41" s="232"/>
      <c r="E41" s="232"/>
      <c r="F41" s="232"/>
      <c r="G41" s="232"/>
      <c r="H41" s="232"/>
      <c r="I41" s="232"/>
      <c r="J41" s="232"/>
      <c r="K41" s="232"/>
    </row>
    <row r="42" spans="2:11" ht="27.75" customHeight="1" x14ac:dyDescent="0.3">
      <c r="B42" s="232" t="s">
        <v>397</v>
      </c>
      <c r="C42" s="232"/>
      <c r="D42" s="232"/>
      <c r="E42" s="232"/>
      <c r="F42" s="232"/>
      <c r="G42" s="232"/>
      <c r="H42" s="232"/>
      <c r="I42" s="232"/>
      <c r="J42" s="232"/>
      <c r="K42" s="232"/>
    </row>
    <row r="43" spans="2:11" ht="27.75" customHeight="1" x14ac:dyDescent="0.3">
      <c r="B43" s="232" t="s">
        <v>398</v>
      </c>
      <c r="C43" s="232"/>
      <c r="D43" s="232"/>
      <c r="E43" s="232"/>
      <c r="F43" s="232"/>
      <c r="G43" s="232"/>
      <c r="H43" s="232"/>
      <c r="I43" s="232"/>
      <c r="J43" s="232"/>
      <c r="K43" s="232"/>
    </row>
    <row r="44" spans="2:11" ht="27.75" customHeight="1" x14ac:dyDescent="0.3">
      <c r="B44" s="232" t="s">
        <v>399</v>
      </c>
      <c r="C44" s="232"/>
      <c r="D44" s="232"/>
      <c r="E44" s="232"/>
      <c r="F44" s="232"/>
      <c r="G44" s="232"/>
      <c r="H44" s="232"/>
      <c r="I44" s="232"/>
      <c r="J44" s="232"/>
      <c r="K44" s="232"/>
    </row>
    <row r="45" spans="2:11" ht="27.75" customHeight="1" x14ac:dyDescent="0.3">
      <c r="B45" s="232" t="s">
        <v>400</v>
      </c>
      <c r="C45" s="232"/>
      <c r="D45" s="232"/>
      <c r="E45" s="232"/>
      <c r="F45" s="232"/>
      <c r="G45" s="232"/>
      <c r="H45" s="232"/>
      <c r="I45" s="232"/>
      <c r="J45" s="232"/>
      <c r="K45" s="232"/>
    </row>
    <row r="46" spans="2:11" ht="15.75" customHeight="1" x14ac:dyDescent="0.3"/>
    <row r="47" spans="2:11" ht="19.5" customHeight="1" x14ac:dyDescent="0.3">
      <c r="B47" s="230" t="s">
        <v>401</v>
      </c>
      <c r="C47" s="230"/>
      <c r="D47" s="230"/>
      <c r="E47" s="230"/>
      <c r="F47" s="230"/>
      <c r="G47" s="230"/>
      <c r="H47" s="230"/>
    </row>
    <row r="48" spans="2:11" ht="15.75" customHeight="1" x14ac:dyDescent="0.3">
      <c r="B48" s="29" t="s">
        <v>402</v>
      </c>
      <c r="C48" s="29" t="s">
        <v>86</v>
      </c>
      <c r="D48" s="29" t="s">
        <v>87</v>
      </c>
      <c r="E48" s="29" t="s">
        <v>88</v>
      </c>
      <c r="F48" s="29" t="s">
        <v>89</v>
      </c>
      <c r="G48" s="29" t="s">
        <v>90</v>
      </c>
    </row>
    <row r="49" spans="2:8" ht="15.75" customHeight="1" x14ac:dyDescent="0.3">
      <c r="B49" s="30" t="s">
        <v>403</v>
      </c>
      <c r="C49" s="135">
        <v>20</v>
      </c>
      <c r="D49" s="136">
        <v>5</v>
      </c>
      <c r="E49" s="136">
        <v>5</v>
      </c>
      <c r="F49" s="136">
        <v>5</v>
      </c>
      <c r="G49" s="136">
        <v>5</v>
      </c>
    </row>
    <row r="50" spans="2:8" ht="15.75" customHeight="1" x14ac:dyDescent="0.3">
      <c r="B50" s="191" t="s">
        <v>404</v>
      </c>
      <c r="C50" s="191"/>
      <c r="D50" s="191"/>
      <c r="E50" s="191"/>
      <c r="F50" s="191"/>
      <c r="G50" s="191"/>
      <c r="H50" s="191"/>
    </row>
    <row r="51" spans="2:8" ht="15.75" customHeight="1" x14ac:dyDescent="0.3">
      <c r="B51" s="191"/>
      <c r="C51" s="191"/>
      <c r="D51" s="191"/>
      <c r="E51" s="191"/>
      <c r="F51" s="191"/>
      <c r="G51" s="191"/>
      <c r="H51" s="191"/>
    </row>
    <row r="52" spans="2:8" ht="15.75" customHeight="1" x14ac:dyDescent="0.3"/>
    <row r="53" spans="2:8" ht="15.75" customHeight="1" x14ac:dyDescent="0.3"/>
    <row r="54" spans="2:8" ht="15.75" customHeight="1" x14ac:dyDescent="0.3"/>
    <row r="55" spans="2:8" ht="15.75" customHeight="1" x14ac:dyDescent="0.3"/>
    <row r="56" spans="2:8" ht="15.75" customHeight="1" x14ac:dyDescent="0.3"/>
    <row r="57" spans="2:8" ht="15.75" customHeight="1" x14ac:dyDescent="0.3"/>
    <row r="58" spans="2:8" ht="15.75" customHeight="1" x14ac:dyDescent="0.3"/>
    <row r="59" spans="2:8" ht="15.75" customHeight="1" x14ac:dyDescent="0.3"/>
    <row r="60" spans="2:8" ht="15.75" customHeight="1" x14ac:dyDescent="0.3"/>
    <row r="61" spans="2:8" ht="15.75" customHeight="1" x14ac:dyDescent="0.3"/>
    <row r="62" spans="2:8" ht="15.75" customHeight="1" x14ac:dyDescent="0.3"/>
    <row r="63" spans="2:8" ht="15.75" customHeight="1" x14ac:dyDescent="0.3"/>
    <row r="64" spans="2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30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M12:R19"/>
    <mergeCell ref="B29:K29"/>
    <mergeCell ref="B30:K30"/>
    <mergeCell ref="B32:K32"/>
    <mergeCell ref="B38:K38"/>
    <mergeCell ref="B24:H24"/>
    <mergeCell ref="B44:K44"/>
    <mergeCell ref="B45:K45"/>
    <mergeCell ref="B47:H47"/>
    <mergeCell ref="B50:H51"/>
    <mergeCell ref="B39:K39"/>
    <mergeCell ref="B40:K40"/>
    <mergeCell ref="B41:K41"/>
    <mergeCell ref="B42:K42"/>
    <mergeCell ref="B43:K43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R1005"/>
  <sheetViews>
    <sheetView showGridLines="0" topLeftCell="A6" zoomScaleNormal="100" workbookViewId="0">
      <selection activeCell="C22" sqref="C22"/>
    </sheetView>
  </sheetViews>
  <sheetFormatPr defaultColWidth="14.44140625" defaultRowHeight="14.4" x14ac:dyDescent="0.3"/>
  <cols>
    <col min="1" max="1" width="2" customWidth="1"/>
    <col min="2" max="2" width="28" customWidth="1"/>
    <col min="3" max="3" width="13" customWidth="1"/>
    <col min="4" max="9" width="8.6640625" customWidth="1"/>
    <col min="10" max="10" width="30" customWidth="1"/>
    <col min="11" max="11" width="2" customWidth="1"/>
    <col min="12" max="26" width="8.6640625" customWidth="1"/>
  </cols>
  <sheetData>
    <row r="1" spans="2:18" ht="15" customHeight="1" x14ac:dyDescent="0.3"/>
    <row r="2" spans="2:18" ht="31.5" customHeight="1" x14ac:dyDescent="0.3">
      <c r="B2" s="209" t="s">
        <v>405</v>
      </c>
      <c r="C2" s="209"/>
      <c r="D2" s="209"/>
      <c r="E2" s="209"/>
      <c r="F2" s="209"/>
      <c r="G2" s="209"/>
      <c r="H2" s="209"/>
      <c r="I2" s="209"/>
      <c r="J2" s="209"/>
    </row>
    <row r="3" spans="2:18" ht="15" customHeight="1" x14ac:dyDescent="0.3"/>
    <row r="4" spans="2:18" ht="39.75" customHeight="1" x14ac:dyDescent="0.3">
      <c r="B4" s="207" t="s">
        <v>406</v>
      </c>
      <c r="C4" s="207"/>
      <c r="D4" s="207"/>
      <c r="E4" s="207"/>
      <c r="F4" s="207"/>
      <c r="G4" s="207"/>
      <c r="H4" s="207"/>
      <c r="I4" s="207"/>
      <c r="J4" s="207"/>
    </row>
    <row r="5" spans="2:18" ht="15" customHeight="1" x14ac:dyDescent="0.3"/>
    <row r="6" spans="2:18" ht="18" customHeight="1" x14ac:dyDescent="0.3">
      <c r="B6" s="234" t="s">
        <v>354</v>
      </c>
      <c r="C6" s="234"/>
      <c r="E6" s="234" t="s">
        <v>355</v>
      </c>
      <c r="F6" s="234"/>
      <c r="H6" s="234" t="s">
        <v>733</v>
      </c>
      <c r="I6" s="234"/>
      <c r="K6" s="234" t="s">
        <v>356</v>
      </c>
      <c r="L6" s="234"/>
    </row>
    <row r="7" spans="2:18" ht="31.5" customHeight="1" x14ac:dyDescent="0.3">
      <c r="B7" s="235" t="s">
        <v>407</v>
      </c>
      <c r="C7" s="235"/>
      <c r="E7" s="235" t="s">
        <v>408</v>
      </c>
      <c r="F7" s="235"/>
      <c r="H7" s="235">
        <v>648</v>
      </c>
      <c r="I7" s="235"/>
      <c r="K7" s="235" t="s">
        <v>409</v>
      </c>
      <c r="L7" s="235"/>
    </row>
    <row r="8" spans="2:18" ht="27.75" customHeight="1" x14ac:dyDescent="0.3">
      <c r="B8" s="233" t="s">
        <v>359</v>
      </c>
      <c r="C8" s="233"/>
      <c r="E8" s="233" t="s">
        <v>410</v>
      </c>
      <c r="F8" s="233"/>
      <c r="H8" s="233" t="s">
        <v>361</v>
      </c>
      <c r="I8" s="233"/>
      <c r="K8" s="233" t="s">
        <v>411</v>
      </c>
      <c r="L8" s="233"/>
    </row>
    <row r="9" spans="2:18" ht="15" customHeight="1" x14ac:dyDescent="0.3"/>
    <row r="10" spans="2:18" ht="15" customHeight="1" x14ac:dyDescent="0.3"/>
    <row r="11" spans="2:18" ht="21.75" customHeight="1" x14ac:dyDescent="0.3">
      <c r="B11" s="195" t="s">
        <v>412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8" ht="30" customHeight="1" x14ac:dyDescent="0.3">
      <c r="B12" s="29" t="s">
        <v>364</v>
      </c>
      <c r="C12" s="29" t="s">
        <v>365</v>
      </c>
      <c r="D12" s="29" t="s">
        <v>366</v>
      </c>
      <c r="E12" s="29" t="s">
        <v>730</v>
      </c>
      <c r="F12" s="29" t="s">
        <v>732</v>
      </c>
      <c r="G12" s="29" t="s">
        <v>367</v>
      </c>
      <c r="H12" s="29" t="s">
        <v>368</v>
      </c>
      <c r="I12" s="29" t="s">
        <v>369</v>
      </c>
      <c r="J12" s="29" t="s">
        <v>18</v>
      </c>
      <c r="M12" s="229"/>
      <c r="N12" s="229"/>
      <c r="O12" s="229"/>
      <c r="P12" s="229"/>
      <c r="Q12" s="229"/>
      <c r="R12" s="229"/>
    </row>
    <row r="13" spans="2:18" ht="15" customHeight="1" x14ac:dyDescent="0.3">
      <c r="B13" s="127" t="s">
        <v>300</v>
      </c>
      <c r="C13" s="128">
        <v>8</v>
      </c>
      <c r="D13" s="128">
        <v>8</v>
      </c>
      <c r="E13" s="129">
        <v>14</v>
      </c>
      <c r="F13" s="130">
        <f>E13*D13</f>
        <v>112</v>
      </c>
      <c r="G13" s="54">
        <v>3</v>
      </c>
      <c r="H13" s="54">
        <v>24</v>
      </c>
      <c r="I13" s="54">
        <v>2</v>
      </c>
      <c r="J13" s="127" t="s">
        <v>413</v>
      </c>
      <c r="M13" s="229"/>
      <c r="N13" s="229"/>
      <c r="O13" s="229"/>
      <c r="P13" s="229"/>
      <c r="Q13" s="229"/>
      <c r="R13" s="229"/>
    </row>
    <row r="14" spans="2:18" ht="21.75" customHeight="1" x14ac:dyDescent="0.3">
      <c r="B14" s="127" t="s">
        <v>372</v>
      </c>
      <c r="C14" s="128">
        <v>3</v>
      </c>
      <c r="D14" s="128">
        <v>4</v>
      </c>
      <c r="E14" s="129">
        <v>14</v>
      </c>
      <c r="F14" s="130">
        <f t="shared" ref="F14:F20" si="0">E14*D14</f>
        <v>56</v>
      </c>
      <c r="G14" s="54">
        <v>4</v>
      </c>
      <c r="H14" s="54">
        <v>16</v>
      </c>
      <c r="I14" s="54">
        <v>1</v>
      </c>
      <c r="J14" s="127" t="s">
        <v>414</v>
      </c>
      <c r="M14" s="229"/>
      <c r="N14" s="229"/>
      <c r="O14" s="229"/>
      <c r="P14" s="229"/>
      <c r="Q14" s="229"/>
      <c r="R14" s="229"/>
    </row>
    <row r="15" spans="2:18" ht="15" customHeight="1" x14ac:dyDescent="0.3">
      <c r="B15" s="127" t="s">
        <v>304</v>
      </c>
      <c r="C15" s="128">
        <v>2</v>
      </c>
      <c r="D15" s="128">
        <v>4</v>
      </c>
      <c r="E15" s="129">
        <v>26</v>
      </c>
      <c r="F15" s="130">
        <f t="shared" si="0"/>
        <v>104</v>
      </c>
      <c r="G15" s="54">
        <v>3</v>
      </c>
      <c r="H15" s="54">
        <v>12</v>
      </c>
      <c r="I15" s="54">
        <v>3</v>
      </c>
      <c r="J15" s="127" t="s">
        <v>415</v>
      </c>
      <c r="M15" s="229"/>
      <c r="N15" s="229"/>
      <c r="O15" s="229"/>
      <c r="P15" s="229"/>
      <c r="Q15" s="229"/>
      <c r="R15" s="229"/>
    </row>
    <row r="16" spans="2:18" ht="26.25" customHeight="1" x14ac:dyDescent="0.3">
      <c r="B16" s="127" t="s">
        <v>371</v>
      </c>
      <c r="C16" s="128">
        <v>3</v>
      </c>
      <c r="D16" s="128">
        <v>3</v>
      </c>
      <c r="E16" s="129">
        <v>39</v>
      </c>
      <c r="F16" s="130">
        <f t="shared" si="0"/>
        <v>117</v>
      </c>
      <c r="G16" s="54">
        <v>4</v>
      </c>
      <c r="H16" s="54">
        <v>12</v>
      </c>
      <c r="I16" s="54">
        <v>1</v>
      </c>
      <c r="J16" s="127" t="s">
        <v>416</v>
      </c>
      <c r="M16" s="229"/>
      <c r="N16" s="229"/>
      <c r="O16" s="229"/>
      <c r="P16" s="229"/>
      <c r="Q16" s="229"/>
      <c r="R16" s="229"/>
    </row>
    <row r="17" spans="2:18" ht="25.5" customHeight="1" x14ac:dyDescent="0.3">
      <c r="B17" s="127" t="s">
        <v>731</v>
      </c>
      <c r="C17" s="128">
        <v>0</v>
      </c>
      <c r="D17" s="128">
        <v>2</v>
      </c>
      <c r="E17" s="129">
        <v>17</v>
      </c>
      <c r="F17" s="130">
        <f t="shared" si="0"/>
        <v>34</v>
      </c>
      <c r="G17" s="54">
        <v>4</v>
      </c>
      <c r="H17" s="54">
        <v>8</v>
      </c>
      <c r="I17" s="54">
        <v>3</v>
      </c>
      <c r="J17" s="127" t="s">
        <v>417</v>
      </c>
      <c r="M17" s="229"/>
      <c r="N17" s="229"/>
      <c r="O17" s="229"/>
      <c r="P17" s="229"/>
      <c r="Q17" s="229"/>
      <c r="R17" s="229"/>
    </row>
    <row r="18" spans="2:18" ht="25.5" customHeight="1" x14ac:dyDescent="0.3">
      <c r="B18" s="127" t="s">
        <v>375</v>
      </c>
      <c r="C18" s="128">
        <v>1</v>
      </c>
      <c r="D18" s="128">
        <v>2</v>
      </c>
      <c r="E18" s="129">
        <v>14</v>
      </c>
      <c r="F18" s="130">
        <f t="shared" si="0"/>
        <v>28</v>
      </c>
      <c r="G18" s="54">
        <v>4</v>
      </c>
      <c r="H18" s="54">
        <v>8</v>
      </c>
      <c r="I18" s="54">
        <v>1</v>
      </c>
      <c r="J18" s="127" t="s">
        <v>418</v>
      </c>
      <c r="M18" s="229"/>
      <c r="N18" s="229"/>
      <c r="O18" s="229"/>
      <c r="P18" s="229"/>
      <c r="Q18" s="229"/>
      <c r="R18" s="229"/>
    </row>
    <row r="19" spans="2:18" ht="27.75" customHeight="1" x14ac:dyDescent="0.3">
      <c r="B19" s="127" t="s">
        <v>306</v>
      </c>
      <c r="C19" s="128">
        <v>0</v>
      </c>
      <c r="D19" s="128">
        <v>2</v>
      </c>
      <c r="E19" s="129">
        <v>58</v>
      </c>
      <c r="F19" s="130">
        <f t="shared" si="0"/>
        <v>116</v>
      </c>
      <c r="G19" s="54" t="s">
        <v>377</v>
      </c>
      <c r="H19" s="54">
        <v>0</v>
      </c>
      <c r="I19" s="54" t="s">
        <v>378</v>
      </c>
      <c r="J19" s="127" t="s">
        <v>419</v>
      </c>
      <c r="M19" s="229"/>
      <c r="N19" s="229"/>
      <c r="O19" s="229"/>
      <c r="P19" s="229"/>
      <c r="Q19" s="229"/>
      <c r="R19" s="229"/>
    </row>
    <row r="20" spans="2:18" ht="24.75" customHeight="1" x14ac:dyDescent="0.3">
      <c r="B20" s="127" t="s">
        <v>420</v>
      </c>
      <c r="C20" s="128">
        <v>1</v>
      </c>
      <c r="D20" s="128">
        <v>1</v>
      </c>
      <c r="E20" s="129">
        <v>81</v>
      </c>
      <c r="F20" s="130">
        <f t="shared" si="0"/>
        <v>81</v>
      </c>
      <c r="G20" s="54" t="s">
        <v>377</v>
      </c>
      <c r="H20" s="54">
        <v>0</v>
      </c>
      <c r="I20" s="54" t="s">
        <v>378</v>
      </c>
      <c r="J20" s="127" t="s">
        <v>421</v>
      </c>
    </row>
    <row r="21" spans="2:18" ht="28.2" customHeight="1" x14ac:dyDescent="0.3">
      <c r="B21" s="127" t="s">
        <v>422</v>
      </c>
      <c r="C21" s="128">
        <v>2</v>
      </c>
      <c r="D21" s="128">
        <v>20</v>
      </c>
      <c r="E21" s="129"/>
      <c r="F21" s="137" t="s">
        <v>309</v>
      </c>
      <c r="G21" s="54"/>
      <c r="H21" s="54" t="s">
        <v>309</v>
      </c>
      <c r="I21" s="54">
        <v>5</v>
      </c>
      <c r="J21" s="127" t="s">
        <v>424</v>
      </c>
    </row>
    <row r="22" spans="2:18" ht="21.75" customHeight="1" x14ac:dyDescent="0.3">
      <c r="B22" s="131" t="s">
        <v>381</v>
      </c>
      <c r="C22" s="132">
        <v>20</v>
      </c>
      <c r="D22" s="132">
        <v>26</v>
      </c>
      <c r="E22" s="132"/>
      <c r="F22" s="133">
        <f>SUM(F13:F21)</f>
        <v>648</v>
      </c>
      <c r="G22" s="132"/>
      <c r="H22" s="132">
        <v>80</v>
      </c>
      <c r="I22" s="132"/>
      <c r="J22" s="132"/>
    </row>
    <row r="23" spans="2:18" ht="15.75" customHeight="1" x14ac:dyDescent="0.3"/>
    <row r="24" spans="2:18" ht="15.75" customHeight="1" x14ac:dyDescent="0.3">
      <c r="B24" s="230" t="s">
        <v>750</v>
      </c>
      <c r="C24" s="230"/>
      <c r="D24" s="230"/>
      <c r="E24" s="230"/>
      <c r="F24" s="230"/>
      <c r="G24" s="230"/>
      <c r="H24" s="230"/>
    </row>
    <row r="25" spans="2:18" ht="15.75" customHeight="1" x14ac:dyDescent="0.3">
      <c r="B25" s="29" t="s">
        <v>402</v>
      </c>
      <c r="C25" s="29" t="s">
        <v>86</v>
      </c>
      <c r="D25" s="29" t="s">
        <v>87</v>
      </c>
      <c r="E25" s="29" t="s">
        <v>88</v>
      </c>
      <c r="F25" s="29" t="s">
        <v>89</v>
      </c>
      <c r="G25" s="29" t="s">
        <v>90</v>
      </c>
    </row>
    <row r="26" spans="2:18" ht="15.75" customHeight="1" x14ac:dyDescent="0.3">
      <c r="B26" s="30" t="s">
        <v>19</v>
      </c>
      <c r="C26" s="135">
        <v>26</v>
      </c>
      <c r="D26" s="136">
        <v>6</v>
      </c>
      <c r="E26" s="136">
        <v>7</v>
      </c>
      <c r="F26" s="136">
        <v>6</v>
      </c>
      <c r="G26" s="136">
        <v>7</v>
      </c>
    </row>
    <row r="27" spans="2:18" ht="15.75" customHeight="1" x14ac:dyDescent="0.3">
      <c r="B27" s="30" t="s">
        <v>751</v>
      </c>
      <c r="C27" s="135">
        <v>648</v>
      </c>
      <c r="D27" s="136">
        <f>C27/26*6</f>
        <v>149.53846153846155</v>
      </c>
      <c r="E27" s="136">
        <f>C27/26*7</f>
        <v>174.46153846153845</v>
      </c>
      <c r="F27" s="136">
        <f>C27/26*6</f>
        <v>149.53846153846155</v>
      </c>
      <c r="G27" s="136">
        <f>C27/26*7</f>
        <v>174.46153846153845</v>
      </c>
    </row>
    <row r="28" spans="2:18" ht="15.75" customHeight="1" x14ac:dyDescent="0.3"/>
    <row r="29" spans="2:18" ht="21.75" customHeight="1" x14ac:dyDescent="0.3">
      <c r="B29" s="195" t="s">
        <v>425</v>
      </c>
      <c r="C29" s="195"/>
      <c r="D29" s="195"/>
      <c r="E29" s="195"/>
      <c r="F29" s="195"/>
      <c r="G29" s="195"/>
      <c r="H29" s="195"/>
      <c r="I29" s="195"/>
      <c r="J29" s="195"/>
      <c r="K29" s="195"/>
    </row>
    <row r="30" spans="2:18" ht="30" customHeight="1" x14ac:dyDescent="0.3">
      <c r="B30" s="29" t="s">
        <v>426</v>
      </c>
      <c r="C30" s="29" t="s">
        <v>427</v>
      </c>
      <c r="D30" s="29" t="s">
        <v>18</v>
      </c>
    </row>
    <row r="31" spans="2:18" ht="15" customHeight="1" x14ac:dyDescent="0.3">
      <c r="B31" s="138" t="s">
        <v>428</v>
      </c>
      <c r="C31" s="236">
        <v>700</v>
      </c>
      <c r="D31" s="236"/>
      <c r="E31" s="237" t="s">
        <v>429</v>
      </c>
      <c r="F31" s="237"/>
      <c r="G31" s="237"/>
      <c r="H31" s="237"/>
      <c r="I31" s="237"/>
      <c r="J31" s="237"/>
    </row>
    <row r="32" spans="2:18" ht="15" customHeight="1" x14ac:dyDescent="0.3">
      <c r="B32" s="138" t="s">
        <v>430</v>
      </c>
      <c r="C32" s="236">
        <v>150</v>
      </c>
      <c r="D32" s="236"/>
      <c r="E32" s="237" t="s">
        <v>431</v>
      </c>
      <c r="F32" s="237"/>
      <c r="G32" s="237"/>
      <c r="H32" s="237"/>
      <c r="I32" s="237"/>
      <c r="J32" s="237"/>
    </row>
    <row r="33" spans="2:11" ht="15" customHeight="1" x14ac:dyDescent="0.3">
      <c r="B33" s="138" t="s">
        <v>432</v>
      </c>
      <c r="C33" s="236">
        <v>90</v>
      </c>
      <c r="D33" s="236"/>
      <c r="E33" s="237" t="s">
        <v>433</v>
      </c>
      <c r="F33" s="237"/>
      <c r="G33" s="237"/>
      <c r="H33" s="237"/>
      <c r="I33" s="237"/>
      <c r="J33" s="237"/>
    </row>
    <row r="34" spans="2:11" ht="15" customHeight="1" x14ac:dyDescent="0.3">
      <c r="B34" s="138" t="s">
        <v>434</v>
      </c>
      <c r="C34" s="236">
        <v>240</v>
      </c>
      <c r="D34" s="236"/>
      <c r="E34" s="237" t="s">
        <v>435</v>
      </c>
      <c r="F34" s="237"/>
      <c r="G34" s="237"/>
      <c r="H34" s="237"/>
      <c r="I34" s="237"/>
      <c r="J34" s="237"/>
    </row>
    <row r="35" spans="2:11" ht="15" customHeight="1" x14ac:dyDescent="0.3">
      <c r="B35" s="138" t="s">
        <v>436</v>
      </c>
      <c r="C35" s="236">
        <v>80</v>
      </c>
      <c r="D35" s="236"/>
      <c r="E35" s="237" t="s">
        <v>437</v>
      </c>
      <c r="F35" s="237"/>
      <c r="G35" s="237"/>
      <c r="H35" s="237"/>
      <c r="I35" s="237"/>
      <c r="J35" s="237"/>
    </row>
    <row r="36" spans="2:11" ht="15" customHeight="1" x14ac:dyDescent="0.3">
      <c r="B36" s="138" t="s">
        <v>438</v>
      </c>
      <c r="C36" s="236" t="s">
        <v>439</v>
      </c>
      <c r="D36" s="236"/>
      <c r="E36" s="237" t="s">
        <v>440</v>
      </c>
      <c r="F36" s="237"/>
      <c r="G36" s="237"/>
      <c r="H36" s="237"/>
      <c r="I36" s="237"/>
      <c r="J36" s="237"/>
    </row>
    <row r="37" spans="2:11" ht="15" customHeight="1" x14ac:dyDescent="0.3">
      <c r="B37" s="138" t="s">
        <v>441</v>
      </c>
      <c r="C37" s="236">
        <v>26</v>
      </c>
      <c r="D37" s="236"/>
      <c r="E37" s="237" t="s">
        <v>442</v>
      </c>
      <c r="F37" s="237"/>
      <c r="G37" s="237"/>
      <c r="H37" s="237"/>
      <c r="I37" s="237"/>
      <c r="J37" s="237"/>
    </row>
    <row r="38" spans="2:11" ht="15" customHeight="1" x14ac:dyDescent="0.3">
      <c r="B38" s="138" t="s">
        <v>443</v>
      </c>
      <c r="C38" s="236" t="s">
        <v>444</v>
      </c>
      <c r="D38" s="236"/>
      <c r="E38" s="237" t="s">
        <v>445</v>
      </c>
      <c r="F38" s="237"/>
      <c r="G38" s="237"/>
      <c r="H38" s="237"/>
      <c r="I38" s="237"/>
      <c r="J38" s="237"/>
    </row>
    <row r="39" spans="2:11" ht="15" customHeight="1" x14ac:dyDescent="0.3">
      <c r="B39" s="138" t="s">
        <v>446</v>
      </c>
      <c r="C39" s="236" t="s">
        <v>447</v>
      </c>
      <c r="D39" s="236"/>
      <c r="E39" s="237" t="s">
        <v>448</v>
      </c>
      <c r="F39" s="237"/>
      <c r="G39" s="237"/>
      <c r="H39" s="237"/>
      <c r="I39" s="237"/>
      <c r="J39" s="237"/>
    </row>
    <row r="40" spans="2:11" ht="15" customHeight="1" x14ac:dyDescent="0.3">
      <c r="B40" s="138" t="s">
        <v>449</v>
      </c>
      <c r="C40" s="236">
        <v>9.1999999999999993</v>
      </c>
      <c r="D40" s="236"/>
      <c r="E40" s="237" t="s">
        <v>450</v>
      </c>
      <c r="F40" s="237"/>
      <c r="G40" s="237"/>
      <c r="H40" s="237"/>
      <c r="I40" s="237"/>
      <c r="J40" s="237"/>
    </row>
    <row r="41" spans="2:11" ht="15.75" customHeight="1" x14ac:dyDescent="0.3"/>
    <row r="42" spans="2:11" ht="21.75" customHeight="1" x14ac:dyDescent="0.3">
      <c r="B42" s="195" t="s">
        <v>393</v>
      </c>
      <c r="C42" s="195"/>
      <c r="D42" s="195"/>
      <c r="E42" s="195"/>
      <c r="F42" s="195"/>
      <c r="G42" s="195"/>
      <c r="H42" s="195"/>
      <c r="I42" s="195"/>
      <c r="J42" s="195"/>
      <c r="K42" s="195"/>
    </row>
    <row r="43" spans="2:11" ht="27.75" customHeight="1" x14ac:dyDescent="0.3">
      <c r="B43" s="232" t="s">
        <v>735</v>
      </c>
      <c r="C43" s="232"/>
      <c r="D43" s="232"/>
      <c r="E43" s="232"/>
      <c r="F43" s="232"/>
      <c r="G43" s="232"/>
      <c r="H43" s="232"/>
      <c r="I43" s="232"/>
      <c r="J43" s="232"/>
      <c r="K43" s="232"/>
    </row>
    <row r="44" spans="2:11" ht="27.75" customHeight="1" x14ac:dyDescent="0.3">
      <c r="B44" s="232" t="s">
        <v>451</v>
      </c>
      <c r="C44" s="232"/>
      <c r="D44" s="232"/>
      <c r="E44" s="232"/>
      <c r="F44" s="232"/>
      <c r="G44" s="232"/>
      <c r="H44" s="232"/>
      <c r="I44" s="232"/>
      <c r="J44" s="232"/>
      <c r="K44" s="232"/>
    </row>
    <row r="45" spans="2:11" ht="27.75" customHeight="1" x14ac:dyDescent="0.3">
      <c r="B45" s="232" t="s">
        <v>452</v>
      </c>
      <c r="C45" s="232"/>
      <c r="D45" s="232"/>
      <c r="E45" s="232"/>
      <c r="F45" s="232"/>
      <c r="G45" s="232"/>
      <c r="H45" s="232"/>
      <c r="I45" s="232"/>
      <c r="J45" s="232"/>
      <c r="K45" s="232"/>
    </row>
    <row r="46" spans="2:11" ht="27.75" customHeight="1" x14ac:dyDescent="0.3">
      <c r="B46" s="232" t="s">
        <v>453</v>
      </c>
      <c r="C46" s="232"/>
      <c r="D46" s="232"/>
      <c r="E46" s="232"/>
      <c r="F46" s="232"/>
      <c r="G46" s="232"/>
      <c r="H46" s="232"/>
      <c r="I46" s="232"/>
      <c r="J46" s="232"/>
      <c r="K46" s="232"/>
    </row>
    <row r="47" spans="2:11" ht="27.75" customHeight="1" x14ac:dyDescent="0.3">
      <c r="B47" s="232" t="s">
        <v>454</v>
      </c>
      <c r="C47" s="232"/>
      <c r="D47" s="232"/>
      <c r="E47" s="232"/>
      <c r="F47" s="232"/>
      <c r="G47" s="232"/>
      <c r="H47" s="232"/>
      <c r="I47" s="232"/>
      <c r="J47" s="232"/>
      <c r="K47" s="232"/>
    </row>
    <row r="48" spans="2:11" ht="27.75" customHeight="1" x14ac:dyDescent="0.3">
      <c r="B48" s="232" t="s">
        <v>455</v>
      </c>
      <c r="C48" s="232"/>
      <c r="D48" s="232"/>
      <c r="E48" s="232"/>
      <c r="F48" s="232"/>
      <c r="G48" s="232"/>
      <c r="H48" s="232"/>
      <c r="I48" s="232"/>
      <c r="J48" s="232"/>
      <c r="K48" s="232"/>
    </row>
    <row r="49" spans="2:11" ht="27.75" customHeight="1" x14ac:dyDescent="0.3">
      <c r="B49" s="232" t="s">
        <v>456</v>
      </c>
      <c r="C49" s="232"/>
      <c r="D49" s="232"/>
      <c r="E49" s="232"/>
      <c r="F49" s="232"/>
      <c r="G49" s="232"/>
      <c r="H49" s="232"/>
      <c r="I49" s="232"/>
      <c r="J49" s="232"/>
      <c r="K49" s="232"/>
    </row>
    <row r="50" spans="2:11" ht="27.75" customHeight="1" x14ac:dyDescent="0.3">
      <c r="B50" s="232" t="s">
        <v>457</v>
      </c>
      <c r="C50" s="232"/>
      <c r="D50" s="232"/>
      <c r="E50" s="232"/>
      <c r="F50" s="232"/>
      <c r="G50" s="232"/>
      <c r="H50" s="232"/>
      <c r="I50" s="232"/>
      <c r="J50" s="232"/>
      <c r="K50" s="232"/>
    </row>
    <row r="51" spans="2:11" ht="27.75" customHeight="1" x14ac:dyDescent="0.3">
      <c r="B51" s="232" t="s">
        <v>458</v>
      </c>
      <c r="C51" s="232"/>
      <c r="D51" s="232"/>
      <c r="E51" s="232"/>
      <c r="F51" s="232"/>
      <c r="G51" s="232"/>
      <c r="H51" s="232"/>
      <c r="I51" s="232"/>
      <c r="J51" s="232"/>
      <c r="K51" s="232"/>
    </row>
    <row r="52" spans="2:11" ht="27.75" customHeight="1" x14ac:dyDescent="0.3">
      <c r="B52" s="232" t="s">
        <v>459</v>
      </c>
      <c r="C52" s="232"/>
      <c r="D52" s="232"/>
      <c r="E52" s="232"/>
      <c r="F52" s="232"/>
      <c r="G52" s="232"/>
      <c r="H52" s="232"/>
      <c r="I52" s="232"/>
      <c r="J52" s="232"/>
      <c r="K52" s="232"/>
    </row>
    <row r="53" spans="2:11" ht="15.75" customHeight="1" x14ac:dyDescent="0.3"/>
    <row r="54" spans="2:11" ht="19.5" customHeight="1" x14ac:dyDescent="0.3">
      <c r="B54" s="230" t="s">
        <v>401</v>
      </c>
      <c r="C54" s="230"/>
      <c r="D54" s="230"/>
      <c r="E54" s="230"/>
      <c r="F54" s="230"/>
      <c r="G54" s="230"/>
      <c r="H54" s="230"/>
    </row>
    <row r="55" spans="2:11" ht="15.75" customHeight="1" x14ac:dyDescent="0.3">
      <c r="B55" s="29" t="s">
        <v>402</v>
      </c>
      <c r="C55" s="29" t="s">
        <v>86</v>
      </c>
      <c r="D55" s="29" t="s">
        <v>87</v>
      </c>
      <c r="E55" s="29" t="s">
        <v>88</v>
      </c>
      <c r="F55" s="29" t="s">
        <v>89</v>
      </c>
      <c r="G55" s="29" t="s">
        <v>90</v>
      </c>
    </row>
    <row r="56" spans="2:11" ht="15.75" customHeight="1" x14ac:dyDescent="0.3">
      <c r="B56" s="30" t="s">
        <v>403</v>
      </c>
      <c r="C56" s="135">
        <v>20</v>
      </c>
      <c r="D56" s="136">
        <v>5</v>
      </c>
      <c r="E56" s="136">
        <v>5</v>
      </c>
      <c r="F56" s="136">
        <v>5</v>
      </c>
      <c r="G56" s="136">
        <v>5</v>
      </c>
    </row>
    <row r="57" spans="2:11" ht="15.75" customHeight="1" x14ac:dyDescent="0.3">
      <c r="B57" s="191" t="s">
        <v>460</v>
      </c>
      <c r="C57" s="191"/>
      <c r="D57" s="191"/>
      <c r="E57" s="191"/>
      <c r="F57" s="191"/>
      <c r="G57" s="191"/>
      <c r="H57" s="191"/>
    </row>
    <row r="58" spans="2:11" ht="15.75" customHeight="1" x14ac:dyDescent="0.3">
      <c r="B58" s="191"/>
      <c r="C58" s="191"/>
      <c r="D58" s="191"/>
      <c r="E58" s="191"/>
      <c r="F58" s="191"/>
      <c r="G58" s="191"/>
      <c r="H58" s="191"/>
    </row>
    <row r="59" spans="2:11" ht="15.75" customHeight="1" x14ac:dyDescent="0.3"/>
    <row r="60" spans="2:11" ht="15.75" customHeight="1" x14ac:dyDescent="0.3"/>
    <row r="61" spans="2:11" ht="15.75" customHeight="1" x14ac:dyDescent="0.3"/>
    <row r="62" spans="2:11" ht="15.75" customHeight="1" x14ac:dyDescent="0.3"/>
    <row r="63" spans="2:11" ht="15.75" customHeight="1" x14ac:dyDescent="0.3"/>
    <row r="64" spans="2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mergeCells count="51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M12:R19"/>
    <mergeCell ref="B29:K29"/>
    <mergeCell ref="C31:D31"/>
    <mergeCell ref="E31:J31"/>
    <mergeCell ref="C32:D32"/>
    <mergeCell ref="E32:J32"/>
    <mergeCell ref="B24:H24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C40:D40"/>
    <mergeCell ref="E40:J40"/>
    <mergeCell ref="B42:K42"/>
    <mergeCell ref="B43:K43"/>
    <mergeCell ref="B44:K44"/>
    <mergeCell ref="B45:K45"/>
    <mergeCell ref="B46:K46"/>
    <mergeCell ref="B47:K47"/>
    <mergeCell ref="B54:H54"/>
    <mergeCell ref="B57:H58"/>
    <mergeCell ref="B48:K48"/>
    <mergeCell ref="B49:K49"/>
    <mergeCell ref="B50:K50"/>
    <mergeCell ref="B51:K51"/>
    <mergeCell ref="B52:K52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R1006"/>
  <sheetViews>
    <sheetView showGridLines="0" topLeftCell="A5" zoomScaleNormal="100" workbookViewId="0">
      <selection activeCell="I20" sqref="I20"/>
    </sheetView>
  </sheetViews>
  <sheetFormatPr defaultColWidth="14.44140625" defaultRowHeight="14.4" x14ac:dyDescent="0.3"/>
  <cols>
    <col min="1" max="1" width="2" customWidth="1"/>
    <col min="2" max="2" width="28" customWidth="1"/>
    <col min="3" max="3" width="13" customWidth="1"/>
    <col min="4" max="9" width="8.6640625" customWidth="1"/>
    <col min="10" max="10" width="30" customWidth="1"/>
    <col min="11" max="11" width="2" customWidth="1"/>
    <col min="12" max="26" width="8.6640625" customWidth="1"/>
  </cols>
  <sheetData>
    <row r="1" spans="2:18" ht="15" customHeight="1" x14ac:dyDescent="0.3"/>
    <row r="2" spans="2:18" ht="31.5" customHeight="1" x14ac:dyDescent="0.3">
      <c r="B2" s="209" t="s">
        <v>461</v>
      </c>
      <c r="C2" s="209"/>
      <c r="D2" s="209"/>
      <c r="E2" s="209"/>
      <c r="F2" s="209"/>
      <c r="G2" s="209"/>
      <c r="H2" s="209"/>
      <c r="I2" s="209"/>
      <c r="J2" s="209"/>
    </row>
    <row r="3" spans="2:18" ht="15" customHeight="1" x14ac:dyDescent="0.3"/>
    <row r="4" spans="2:18" ht="39.75" customHeight="1" x14ac:dyDescent="0.3">
      <c r="B4" s="207" t="s">
        <v>462</v>
      </c>
      <c r="C4" s="207"/>
      <c r="D4" s="207"/>
      <c r="E4" s="207"/>
      <c r="F4" s="207"/>
      <c r="G4" s="207"/>
      <c r="H4" s="207"/>
      <c r="I4" s="207"/>
      <c r="J4" s="207"/>
    </row>
    <row r="5" spans="2:18" ht="15" customHeight="1" x14ac:dyDescent="0.3"/>
    <row r="6" spans="2:18" ht="18" customHeight="1" x14ac:dyDescent="0.3">
      <c r="B6" s="234" t="s">
        <v>354</v>
      </c>
      <c r="C6" s="234"/>
      <c r="E6" s="234" t="s">
        <v>355</v>
      </c>
      <c r="F6" s="234"/>
      <c r="H6" s="234" t="s">
        <v>733</v>
      </c>
      <c r="I6" s="234"/>
      <c r="K6" s="234" t="s">
        <v>356</v>
      </c>
      <c r="L6" s="234"/>
    </row>
    <row r="7" spans="2:18" ht="31.5" customHeight="1" x14ac:dyDescent="0.3">
      <c r="B7" s="235" t="s">
        <v>463</v>
      </c>
      <c r="C7" s="235"/>
      <c r="E7" s="235" t="s">
        <v>357</v>
      </c>
      <c r="F7" s="235"/>
      <c r="H7" s="235">
        <v>280</v>
      </c>
      <c r="I7" s="235"/>
      <c r="K7" s="235" t="s">
        <v>464</v>
      </c>
      <c r="L7" s="235"/>
    </row>
    <row r="8" spans="2:18" ht="27.75" customHeight="1" x14ac:dyDescent="0.3">
      <c r="B8" s="233" t="s">
        <v>359</v>
      </c>
      <c r="C8" s="233"/>
      <c r="E8" s="233" t="s">
        <v>359</v>
      </c>
      <c r="F8" s="233"/>
      <c r="H8" s="233" t="s">
        <v>361</v>
      </c>
      <c r="I8" s="233"/>
      <c r="K8" s="233" t="s">
        <v>465</v>
      </c>
      <c r="L8" s="233"/>
    </row>
    <row r="9" spans="2:18" ht="15" customHeight="1" x14ac:dyDescent="0.3"/>
    <row r="10" spans="2:18" ht="15" customHeight="1" x14ac:dyDescent="0.3"/>
    <row r="11" spans="2:18" ht="21.75" customHeight="1" x14ac:dyDescent="0.3">
      <c r="B11" s="195" t="s">
        <v>412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8" ht="30" customHeight="1" x14ac:dyDescent="0.3">
      <c r="B12" s="29" t="s">
        <v>364</v>
      </c>
      <c r="C12" s="29" t="s">
        <v>365</v>
      </c>
      <c r="D12" s="29" t="s">
        <v>366</v>
      </c>
      <c r="E12" s="29" t="s">
        <v>730</v>
      </c>
      <c r="F12" s="29" t="s">
        <v>732</v>
      </c>
      <c r="G12" s="29" t="s">
        <v>367</v>
      </c>
      <c r="H12" s="29" t="s">
        <v>368</v>
      </c>
      <c r="I12" s="29" t="s">
        <v>369</v>
      </c>
      <c r="J12" s="29" t="s">
        <v>18</v>
      </c>
      <c r="M12" s="229"/>
      <c r="N12" s="229"/>
      <c r="O12" s="229"/>
      <c r="P12" s="229"/>
      <c r="Q12" s="229"/>
      <c r="R12" s="229"/>
    </row>
    <row r="13" spans="2:18" ht="25.5" customHeight="1" x14ac:dyDescent="0.3">
      <c r="B13" s="127" t="s">
        <v>300</v>
      </c>
      <c r="C13" s="128">
        <v>4</v>
      </c>
      <c r="D13" s="128">
        <v>4</v>
      </c>
      <c r="E13" s="129">
        <v>14</v>
      </c>
      <c r="F13" s="130">
        <f>E13*D13</f>
        <v>56</v>
      </c>
      <c r="G13" s="54">
        <v>3</v>
      </c>
      <c r="H13" s="54">
        <v>12</v>
      </c>
      <c r="I13" s="54">
        <v>2</v>
      </c>
      <c r="J13" s="127"/>
      <c r="M13" s="229"/>
      <c r="N13" s="229"/>
      <c r="O13" s="229"/>
      <c r="P13" s="229"/>
      <c r="Q13" s="229"/>
      <c r="R13" s="229"/>
    </row>
    <row r="14" spans="2:18" ht="25.5" customHeight="1" x14ac:dyDescent="0.3">
      <c r="B14" s="127" t="s">
        <v>372</v>
      </c>
      <c r="C14" s="128">
        <v>0</v>
      </c>
      <c r="D14" s="128">
        <v>4</v>
      </c>
      <c r="E14" s="129">
        <v>14</v>
      </c>
      <c r="F14" s="130">
        <f t="shared" ref="F14:F19" si="0">E14*D14</f>
        <v>56</v>
      </c>
      <c r="G14" s="54">
        <v>4</v>
      </c>
      <c r="H14" s="54">
        <v>16</v>
      </c>
      <c r="I14" s="54">
        <v>1</v>
      </c>
      <c r="J14" s="127"/>
      <c r="M14" s="229"/>
      <c r="N14" s="229"/>
      <c r="O14" s="229"/>
      <c r="P14" s="229"/>
      <c r="Q14" s="229"/>
      <c r="R14" s="229"/>
    </row>
    <row r="15" spans="2:18" ht="25.5" customHeight="1" x14ac:dyDescent="0.3">
      <c r="B15" s="127" t="s">
        <v>304</v>
      </c>
      <c r="C15" s="128">
        <v>0</v>
      </c>
      <c r="D15" s="128">
        <v>3</v>
      </c>
      <c r="E15" s="129">
        <v>26</v>
      </c>
      <c r="F15" s="130">
        <f t="shared" si="0"/>
        <v>78</v>
      </c>
      <c r="G15" s="54">
        <v>3</v>
      </c>
      <c r="H15" s="54">
        <v>9</v>
      </c>
      <c r="I15" s="54">
        <v>3</v>
      </c>
      <c r="J15" s="127"/>
      <c r="M15" s="229"/>
      <c r="N15" s="229"/>
      <c r="O15" s="229"/>
      <c r="P15" s="229"/>
      <c r="Q15" s="229"/>
      <c r="R15" s="229"/>
    </row>
    <row r="16" spans="2:18" ht="25.5" customHeight="1" x14ac:dyDescent="0.3">
      <c r="B16" s="127" t="s">
        <v>375</v>
      </c>
      <c r="C16" s="128">
        <v>0</v>
      </c>
      <c r="D16" s="128">
        <v>2</v>
      </c>
      <c r="E16" s="129">
        <v>14</v>
      </c>
      <c r="F16" s="130">
        <f t="shared" si="0"/>
        <v>28</v>
      </c>
      <c r="G16" s="54">
        <v>4</v>
      </c>
      <c r="H16" s="54">
        <v>8</v>
      </c>
      <c r="I16" s="54">
        <v>1</v>
      </c>
      <c r="J16" s="127"/>
      <c r="M16" s="229"/>
      <c r="N16" s="229"/>
      <c r="O16" s="229"/>
      <c r="P16" s="229"/>
      <c r="Q16" s="229"/>
      <c r="R16" s="229"/>
    </row>
    <row r="17" spans="2:18" ht="25.5" customHeight="1" x14ac:dyDescent="0.3">
      <c r="B17" s="127" t="s">
        <v>371</v>
      </c>
      <c r="C17" s="128">
        <v>1</v>
      </c>
      <c r="D17" s="128">
        <v>1</v>
      </c>
      <c r="E17" s="129">
        <v>39</v>
      </c>
      <c r="F17" s="130">
        <f t="shared" si="0"/>
        <v>39</v>
      </c>
      <c r="G17" s="54">
        <v>4</v>
      </c>
      <c r="H17" s="54">
        <v>4</v>
      </c>
      <c r="I17" s="54">
        <v>1</v>
      </c>
      <c r="J17" s="127"/>
      <c r="M17" s="229"/>
      <c r="N17" s="229"/>
      <c r="O17" s="229"/>
      <c r="P17" s="229"/>
      <c r="Q17" s="229"/>
      <c r="R17" s="229"/>
    </row>
    <row r="18" spans="2:18" ht="25.5" customHeight="1" x14ac:dyDescent="0.3">
      <c r="B18" s="127" t="s">
        <v>731</v>
      </c>
      <c r="C18" s="128">
        <v>0</v>
      </c>
      <c r="D18" s="128">
        <v>1</v>
      </c>
      <c r="E18" s="129">
        <v>17</v>
      </c>
      <c r="F18" s="130">
        <f t="shared" si="0"/>
        <v>17</v>
      </c>
      <c r="G18" s="54">
        <v>4</v>
      </c>
      <c r="H18" s="54">
        <v>4</v>
      </c>
      <c r="I18" s="54" t="s">
        <v>378</v>
      </c>
      <c r="J18" s="127"/>
      <c r="M18" s="229"/>
      <c r="N18" s="229"/>
      <c r="O18" s="229"/>
      <c r="P18" s="229"/>
      <c r="Q18" s="229"/>
      <c r="R18" s="229"/>
    </row>
    <row r="19" spans="2:18" ht="25.5" customHeight="1" x14ac:dyDescent="0.3">
      <c r="B19" s="127" t="s">
        <v>297</v>
      </c>
      <c r="C19" s="128">
        <v>0</v>
      </c>
      <c r="D19" s="128">
        <v>1</v>
      </c>
      <c r="E19" s="129">
        <v>6</v>
      </c>
      <c r="F19" s="130">
        <f t="shared" si="0"/>
        <v>6</v>
      </c>
      <c r="G19" s="54">
        <v>3</v>
      </c>
      <c r="H19" s="54">
        <v>3</v>
      </c>
      <c r="I19" s="54">
        <v>3</v>
      </c>
      <c r="J19" s="127"/>
      <c r="M19" s="229"/>
      <c r="N19" s="229"/>
      <c r="O19" s="229"/>
      <c r="P19" s="229"/>
      <c r="Q19" s="229"/>
      <c r="R19" s="229"/>
    </row>
    <row r="20" spans="2:18" ht="25.5" customHeight="1" x14ac:dyDescent="0.3">
      <c r="B20" s="127" t="s">
        <v>17</v>
      </c>
      <c r="C20" s="128">
        <v>0</v>
      </c>
      <c r="D20" s="128">
        <v>10</v>
      </c>
      <c r="E20" s="129"/>
      <c r="F20" s="130"/>
      <c r="G20" s="54"/>
      <c r="H20" s="54"/>
      <c r="I20" s="54">
        <v>5</v>
      </c>
      <c r="J20" s="127"/>
      <c r="M20" s="156"/>
      <c r="N20" s="156"/>
      <c r="O20" s="156"/>
      <c r="P20" s="156"/>
      <c r="Q20" s="156"/>
      <c r="R20" s="156"/>
    </row>
    <row r="21" spans="2:18" ht="21.75" customHeight="1" x14ac:dyDescent="0.3">
      <c r="B21" s="131" t="s">
        <v>381</v>
      </c>
      <c r="C21" s="132">
        <v>5</v>
      </c>
      <c r="D21" s="132">
        <v>16</v>
      </c>
      <c r="E21" s="132"/>
      <c r="F21" s="133">
        <f>SUM(F13:F19)</f>
        <v>280</v>
      </c>
      <c r="G21" s="132"/>
      <c r="H21" s="132">
        <v>56</v>
      </c>
      <c r="I21" s="132"/>
      <c r="J21" s="132"/>
    </row>
    <row r="22" spans="2:18" ht="15.75" customHeight="1" x14ac:dyDescent="0.3"/>
    <row r="23" spans="2:18" ht="15.75" customHeight="1" x14ac:dyDescent="0.3">
      <c r="B23" s="230" t="s">
        <v>750</v>
      </c>
      <c r="C23" s="230"/>
      <c r="D23" s="230"/>
      <c r="E23" s="230"/>
      <c r="F23" s="230"/>
      <c r="G23" s="230"/>
      <c r="H23" s="230"/>
    </row>
    <row r="24" spans="2:18" ht="15.75" customHeight="1" x14ac:dyDescent="0.3">
      <c r="B24" s="29" t="s">
        <v>402</v>
      </c>
      <c r="C24" s="29" t="s">
        <v>86</v>
      </c>
      <c r="D24" s="29" t="s">
        <v>87</v>
      </c>
      <c r="E24" s="29" t="s">
        <v>88</v>
      </c>
      <c r="F24" s="29" t="s">
        <v>89</v>
      </c>
      <c r="G24" s="29" t="s">
        <v>90</v>
      </c>
    </row>
    <row r="25" spans="2:18" ht="15.75" customHeight="1" x14ac:dyDescent="0.3">
      <c r="B25" s="30" t="s">
        <v>19</v>
      </c>
      <c r="C25" s="135">
        <v>16</v>
      </c>
      <c r="D25" s="136">
        <v>4</v>
      </c>
      <c r="E25" s="136">
        <v>4</v>
      </c>
      <c r="F25" s="136">
        <v>4</v>
      </c>
      <c r="G25" s="136">
        <v>4</v>
      </c>
    </row>
    <row r="26" spans="2:18" ht="15.75" customHeight="1" x14ac:dyDescent="0.3">
      <c r="B26" s="30" t="s">
        <v>751</v>
      </c>
      <c r="C26" s="135">
        <v>280</v>
      </c>
      <c r="D26" s="136">
        <f>C26/16*4</f>
        <v>70</v>
      </c>
      <c r="E26" s="136">
        <f>C26/16*4</f>
        <v>70</v>
      </c>
      <c r="F26" s="136">
        <f>C26/16*4</f>
        <v>70</v>
      </c>
      <c r="G26" s="136">
        <f>C26/16*4</f>
        <v>70</v>
      </c>
    </row>
    <row r="27" spans="2:18" ht="15.75" customHeight="1" x14ac:dyDescent="0.3"/>
    <row r="28" spans="2:18" ht="21.75" customHeight="1" x14ac:dyDescent="0.3">
      <c r="B28" s="195" t="s">
        <v>466</v>
      </c>
      <c r="C28" s="195"/>
      <c r="D28" s="195"/>
      <c r="E28" s="195"/>
      <c r="F28" s="195"/>
      <c r="G28" s="195"/>
      <c r="H28" s="195"/>
      <c r="I28" s="195"/>
      <c r="J28" s="195"/>
      <c r="K28" s="195"/>
    </row>
    <row r="29" spans="2:18" ht="30" customHeight="1" x14ac:dyDescent="0.3">
      <c r="B29" s="29" t="s">
        <v>467</v>
      </c>
      <c r="C29" s="29" t="s">
        <v>468</v>
      </c>
      <c r="D29" s="29" t="s">
        <v>469</v>
      </c>
      <c r="E29" s="29" t="s">
        <v>470</v>
      </c>
      <c r="F29" s="29" t="s">
        <v>471</v>
      </c>
      <c r="G29" s="29" t="s">
        <v>472</v>
      </c>
      <c r="H29" s="29" t="s">
        <v>18</v>
      </c>
    </row>
    <row r="30" spans="2:18" ht="53.25" customHeight="1" x14ac:dyDescent="0.3">
      <c r="B30" s="127" t="s">
        <v>40</v>
      </c>
      <c r="C30" s="54" t="s">
        <v>473</v>
      </c>
      <c r="D30" s="128">
        <v>8</v>
      </c>
      <c r="E30" s="128"/>
      <c r="F30" s="54" t="s">
        <v>474</v>
      </c>
      <c r="G30" s="54" t="s">
        <v>475</v>
      </c>
      <c r="H30" s="127" t="s">
        <v>476</v>
      </c>
    </row>
    <row r="31" spans="2:18" ht="32.25" customHeight="1" x14ac:dyDescent="0.3">
      <c r="B31" s="127" t="s">
        <v>477</v>
      </c>
      <c r="C31" s="54" t="s">
        <v>478</v>
      </c>
      <c r="D31" s="128">
        <v>2</v>
      </c>
      <c r="E31" s="128"/>
      <c r="F31" s="54" t="s">
        <v>479</v>
      </c>
      <c r="G31" s="54" t="s">
        <v>480</v>
      </c>
      <c r="H31" s="127" t="s">
        <v>481</v>
      </c>
    </row>
    <row r="32" spans="2:18" ht="21.75" customHeight="1" x14ac:dyDescent="0.3">
      <c r="B32" s="127" t="s">
        <v>482</v>
      </c>
      <c r="C32" s="54" t="s">
        <v>483</v>
      </c>
      <c r="D32" s="128">
        <v>2</v>
      </c>
      <c r="E32" s="128"/>
      <c r="F32" s="54" t="s">
        <v>479</v>
      </c>
      <c r="G32" s="54" t="s">
        <v>480</v>
      </c>
      <c r="H32" s="127" t="s">
        <v>484</v>
      </c>
    </row>
    <row r="33" spans="2:11" ht="21.75" customHeight="1" x14ac:dyDescent="0.3">
      <c r="B33" s="127" t="s">
        <v>485</v>
      </c>
      <c r="C33" s="54" t="s">
        <v>486</v>
      </c>
      <c r="D33" s="128">
        <v>2</v>
      </c>
      <c r="E33" s="128"/>
      <c r="F33" s="54" t="s">
        <v>479</v>
      </c>
      <c r="G33" s="54" t="s">
        <v>480</v>
      </c>
      <c r="H33" s="127" t="s">
        <v>487</v>
      </c>
    </row>
    <row r="34" spans="2:11" ht="15" customHeight="1" x14ac:dyDescent="0.3">
      <c r="B34" s="127" t="s">
        <v>488</v>
      </c>
      <c r="C34" s="54" t="s">
        <v>478</v>
      </c>
      <c r="D34" s="128">
        <v>1</v>
      </c>
      <c r="E34" s="128"/>
      <c r="F34" s="54" t="s">
        <v>489</v>
      </c>
      <c r="G34" s="54" t="s">
        <v>490</v>
      </c>
      <c r="H34" s="127"/>
    </row>
    <row r="35" spans="2:11" ht="15" customHeight="1" x14ac:dyDescent="0.3">
      <c r="B35" s="127" t="s">
        <v>491</v>
      </c>
      <c r="C35" s="54" t="s">
        <v>478</v>
      </c>
      <c r="D35" s="128">
        <v>1</v>
      </c>
      <c r="E35" s="128"/>
      <c r="F35" s="54" t="s">
        <v>489</v>
      </c>
      <c r="G35" s="54" t="s">
        <v>490</v>
      </c>
      <c r="H35" s="127" t="s">
        <v>492</v>
      </c>
    </row>
    <row r="36" spans="2:11" ht="15" customHeight="1" x14ac:dyDescent="0.3">
      <c r="B36" s="127" t="s">
        <v>493</v>
      </c>
      <c r="C36" s="54" t="s">
        <v>494</v>
      </c>
      <c r="D36" s="128">
        <v>1</v>
      </c>
      <c r="E36" s="128"/>
      <c r="F36" s="54" t="s">
        <v>489</v>
      </c>
      <c r="G36" s="54" t="s">
        <v>490</v>
      </c>
      <c r="H36" s="127" t="s">
        <v>495</v>
      </c>
    </row>
    <row r="37" spans="2:11" ht="21.75" customHeight="1" x14ac:dyDescent="0.3">
      <c r="B37" s="127" t="s">
        <v>496</v>
      </c>
      <c r="C37" s="54" t="s">
        <v>483</v>
      </c>
      <c r="D37" s="128">
        <v>1</v>
      </c>
      <c r="E37" s="128"/>
      <c r="F37" s="54" t="s">
        <v>489</v>
      </c>
      <c r="G37" s="54" t="s">
        <v>497</v>
      </c>
      <c r="H37" s="127" t="s">
        <v>498</v>
      </c>
    </row>
    <row r="38" spans="2:11" ht="21.75" customHeight="1" x14ac:dyDescent="0.3">
      <c r="B38" s="127" t="s">
        <v>499</v>
      </c>
      <c r="C38" s="54" t="s">
        <v>500</v>
      </c>
      <c r="D38" s="128">
        <v>7</v>
      </c>
      <c r="E38" s="128"/>
      <c r="F38" s="54" t="s">
        <v>501</v>
      </c>
      <c r="G38" s="54" t="s">
        <v>497</v>
      </c>
      <c r="H38" s="127" t="s">
        <v>502</v>
      </c>
    </row>
    <row r="39" spans="2:11" ht="21.75" customHeight="1" x14ac:dyDescent="0.3">
      <c r="B39" s="131" t="s">
        <v>381</v>
      </c>
      <c r="C39" s="132"/>
      <c r="D39" s="132">
        <v>25</v>
      </c>
      <c r="E39" s="132"/>
      <c r="F39" s="132"/>
      <c r="G39" s="132"/>
      <c r="H39" s="132" t="s">
        <v>503</v>
      </c>
    </row>
    <row r="40" spans="2:11" ht="15.75" customHeight="1" x14ac:dyDescent="0.3"/>
    <row r="41" spans="2:11" ht="21.75" customHeight="1" x14ac:dyDescent="0.3">
      <c r="B41" s="195" t="s">
        <v>393</v>
      </c>
      <c r="C41" s="195"/>
      <c r="D41" s="195"/>
      <c r="E41" s="195"/>
      <c r="F41" s="195"/>
      <c r="G41" s="195"/>
      <c r="H41" s="195"/>
      <c r="I41" s="195"/>
      <c r="J41" s="195"/>
      <c r="K41" s="195"/>
    </row>
    <row r="42" spans="2:11" ht="27.75" customHeight="1" x14ac:dyDescent="0.3">
      <c r="B42" s="232" t="s">
        <v>504</v>
      </c>
      <c r="C42" s="232"/>
      <c r="D42" s="232"/>
      <c r="E42" s="232"/>
      <c r="F42" s="232"/>
      <c r="G42" s="232"/>
      <c r="H42" s="232"/>
      <c r="I42" s="232"/>
      <c r="J42" s="232"/>
      <c r="K42" s="232"/>
    </row>
    <row r="43" spans="2:11" ht="27.75" customHeight="1" x14ac:dyDescent="0.3">
      <c r="B43" s="232" t="s">
        <v>505</v>
      </c>
      <c r="C43" s="232"/>
      <c r="D43" s="232"/>
      <c r="E43" s="232"/>
      <c r="F43" s="232"/>
      <c r="G43" s="232"/>
      <c r="H43" s="232"/>
      <c r="I43" s="232"/>
      <c r="J43" s="232"/>
      <c r="K43" s="232"/>
    </row>
    <row r="44" spans="2:11" ht="27.75" customHeight="1" x14ac:dyDescent="0.3">
      <c r="B44" s="232" t="s">
        <v>506</v>
      </c>
      <c r="C44" s="232"/>
      <c r="D44" s="232"/>
      <c r="E44" s="232"/>
      <c r="F44" s="232"/>
      <c r="G44" s="232"/>
      <c r="H44" s="232"/>
      <c r="I44" s="232"/>
      <c r="J44" s="232"/>
      <c r="K44" s="232"/>
    </row>
    <row r="45" spans="2:11" ht="27.75" customHeight="1" x14ac:dyDescent="0.3">
      <c r="B45" s="232" t="s">
        <v>507</v>
      </c>
      <c r="C45" s="232"/>
      <c r="D45" s="232"/>
      <c r="E45" s="232"/>
      <c r="F45" s="232"/>
      <c r="G45" s="232"/>
      <c r="H45" s="232"/>
      <c r="I45" s="232"/>
      <c r="J45" s="232"/>
      <c r="K45" s="232"/>
    </row>
    <row r="46" spans="2:11" ht="27.75" customHeight="1" x14ac:dyDescent="0.3">
      <c r="B46" s="232" t="s">
        <v>508</v>
      </c>
      <c r="C46" s="232"/>
      <c r="D46" s="232"/>
      <c r="E46" s="232"/>
      <c r="F46" s="232"/>
      <c r="G46" s="232"/>
      <c r="H46" s="232"/>
      <c r="I46" s="232"/>
      <c r="J46" s="232"/>
      <c r="K46" s="232"/>
    </row>
    <row r="47" spans="2:11" ht="27.75" customHeight="1" x14ac:dyDescent="0.3">
      <c r="B47" s="232" t="s">
        <v>509</v>
      </c>
      <c r="C47" s="232"/>
      <c r="D47" s="232"/>
      <c r="E47" s="232"/>
      <c r="F47" s="232"/>
      <c r="G47" s="232"/>
      <c r="H47" s="232"/>
      <c r="I47" s="232"/>
      <c r="J47" s="232"/>
      <c r="K47" s="232"/>
    </row>
    <row r="48" spans="2:11" ht="27.75" customHeight="1" x14ac:dyDescent="0.3">
      <c r="B48" s="232" t="s">
        <v>510</v>
      </c>
      <c r="C48" s="232"/>
      <c r="D48" s="232"/>
      <c r="E48" s="232"/>
      <c r="F48" s="232"/>
      <c r="G48" s="232"/>
      <c r="H48" s="232"/>
      <c r="I48" s="232"/>
      <c r="J48" s="232"/>
      <c r="K48" s="232"/>
    </row>
    <row r="49" spans="2:8" ht="15.75" customHeight="1" x14ac:dyDescent="0.3"/>
    <row r="50" spans="2:8" ht="19.5" customHeight="1" x14ac:dyDescent="0.3">
      <c r="B50" s="230" t="s">
        <v>401</v>
      </c>
      <c r="C50" s="230"/>
      <c r="D50" s="230"/>
      <c r="E50" s="230"/>
      <c r="F50" s="230"/>
      <c r="G50" s="230"/>
      <c r="H50" s="230"/>
    </row>
    <row r="51" spans="2:8" ht="15.75" customHeight="1" x14ac:dyDescent="0.3">
      <c r="B51" s="29" t="s">
        <v>402</v>
      </c>
      <c r="C51" s="29" t="s">
        <v>86</v>
      </c>
      <c r="D51" s="29" t="s">
        <v>87</v>
      </c>
      <c r="E51" s="29" t="s">
        <v>88</v>
      </c>
      <c r="F51" s="29" t="s">
        <v>89</v>
      </c>
      <c r="G51" s="29" t="s">
        <v>90</v>
      </c>
    </row>
    <row r="52" spans="2:8" ht="15.75" customHeight="1" x14ac:dyDescent="0.3">
      <c r="B52" s="30" t="s">
        <v>403</v>
      </c>
      <c r="C52" s="135">
        <v>10</v>
      </c>
      <c r="D52" s="136">
        <v>2</v>
      </c>
      <c r="E52" s="136">
        <v>3</v>
      </c>
      <c r="F52" s="136">
        <v>2</v>
      </c>
      <c r="G52" s="136">
        <v>3</v>
      </c>
    </row>
    <row r="53" spans="2:8" ht="15.75" customHeight="1" x14ac:dyDescent="0.3">
      <c r="B53" s="191" t="s">
        <v>511</v>
      </c>
      <c r="C53" s="191"/>
      <c r="D53" s="191"/>
      <c r="E53" s="191"/>
      <c r="F53" s="191"/>
      <c r="G53" s="191"/>
      <c r="H53" s="191"/>
    </row>
    <row r="54" spans="2:8" ht="15.75" customHeight="1" x14ac:dyDescent="0.3">
      <c r="B54" s="191"/>
      <c r="C54" s="191"/>
      <c r="D54" s="191"/>
      <c r="E54" s="191"/>
      <c r="F54" s="191"/>
      <c r="G54" s="191"/>
      <c r="H54" s="191"/>
    </row>
    <row r="55" spans="2:8" ht="15.75" customHeight="1" x14ac:dyDescent="0.3"/>
    <row r="56" spans="2:8" ht="15.75" customHeight="1" x14ac:dyDescent="0.3"/>
    <row r="57" spans="2:8" ht="15.75" customHeight="1" x14ac:dyDescent="0.3"/>
    <row r="58" spans="2:8" ht="15.75" customHeight="1" x14ac:dyDescent="0.3"/>
    <row r="59" spans="2:8" ht="15.75" customHeight="1" x14ac:dyDescent="0.3"/>
    <row r="60" spans="2:8" ht="15.75" customHeight="1" x14ac:dyDescent="0.3"/>
    <row r="61" spans="2:8" ht="15.75" customHeight="1" x14ac:dyDescent="0.3"/>
    <row r="62" spans="2:8" ht="15.75" customHeight="1" x14ac:dyDescent="0.3"/>
    <row r="63" spans="2:8" ht="15.75" customHeight="1" x14ac:dyDescent="0.3"/>
    <row r="64" spans="2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28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M12:R19"/>
    <mergeCell ref="B28:K28"/>
    <mergeCell ref="B41:K41"/>
    <mergeCell ref="B42:K42"/>
    <mergeCell ref="B43:K43"/>
    <mergeCell ref="B23:H23"/>
    <mergeCell ref="B50:H50"/>
    <mergeCell ref="B53:H54"/>
    <mergeCell ref="B44:K44"/>
    <mergeCell ref="B45:K45"/>
    <mergeCell ref="B46:K46"/>
    <mergeCell ref="B47:K47"/>
    <mergeCell ref="B48:K48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R1005"/>
  <sheetViews>
    <sheetView showGridLines="0" topLeftCell="A4" zoomScaleNormal="100" workbookViewId="0">
      <selection activeCell="B7" sqref="B7:C7"/>
    </sheetView>
  </sheetViews>
  <sheetFormatPr defaultColWidth="14.44140625" defaultRowHeight="14.4" x14ac:dyDescent="0.3"/>
  <cols>
    <col min="1" max="1" width="2" customWidth="1"/>
    <col min="2" max="2" width="28" customWidth="1"/>
    <col min="3" max="9" width="13" customWidth="1"/>
    <col min="10" max="10" width="30" customWidth="1"/>
    <col min="11" max="11" width="2" customWidth="1"/>
    <col min="12" max="26" width="8.6640625" customWidth="1"/>
  </cols>
  <sheetData>
    <row r="1" spans="2:18" ht="15" customHeight="1" x14ac:dyDescent="0.3"/>
    <row r="2" spans="2:18" ht="31.5" customHeight="1" x14ac:dyDescent="0.3">
      <c r="B2" s="209" t="s">
        <v>512</v>
      </c>
      <c r="C2" s="209"/>
      <c r="D2" s="209"/>
      <c r="E2" s="209"/>
      <c r="F2" s="209"/>
      <c r="G2" s="209"/>
      <c r="H2" s="209"/>
      <c r="I2" s="209"/>
      <c r="J2" s="209"/>
    </row>
    <row r="3" spans="2:18" ht="15" customHeight="1" x14ac:dyDescent="0.3"/>
    <row r="4" spans="2:18" ht="49.5" customHeight="1" x14ac:dyDescent="0.3">
      <c r="B4" s="207" t="s">
        <v>513</v>
      </c>
      <c r="C4" s="207"/>
      <c r="D4" s="207"/>
      <c r="E4" s="207"/>
      <c r="F4" s="207"/>
      <c r="G4" s="207"/>
      <c r="H4" s="207"/>
      <c r="I4" s="207"/>
      <c r="J4" s="207"/>
    </row>
    <row r="5" spans="2:18" ht="15" customHeight="1" x14ac:dyDescent="0.3"/>
    <row r="6" spans="2:18" ht="18" customHeight="1" x14ac:dyDescent="0.3">
      <c r="B6" s="240" t="s">
        <v>354</v>
      </c>
      <c r="C6" s="240"/>
      <c r="E6" s="240" t="s">
        <v>355</v>
      </c>
      <c r="F6" s="240"/>
      <c r="H6" s="240" t="s">
        <v>733</v>
      </c>
      <c r="I6" s="240"/>
      <c r="K6" s="240" t="s">
        <v>356</v>
      </c>
      <c r="L6" s="240"/>
    </row>
    <row r="7" spans="2:18" ht="31.5" customHeight="1" x14ac:dyDescent="0.3">
      <c r="B7" s="241">
        <v>31</v>
      </c>
      <c r="C7" s="241"/>
      <c r="E7" s="241" t="s">
        <v>514</v>
      </c>
      <c r="F7" s="241"/>
      <c r="H7" s="242">
        <v>1157</v>
      </c>
      <c r="I7" s="241"/>
      <c r="K7" s="241" t="s">
        <v>515</v>
      </c>
      <c r="L7" s="241"/>
    </row>
    <row r="8" spans="2:18" ht="27.75" customHeight="1" x14ac:dyDescent="0.3">
      <c r="B8" s="239" t="s">
        <v>359</v>
      </c>
      <c r="C8" s="239"/>
      <c r="E8" s="239" t="s">
        <v>516</v>
      </c>
      <c r="F8" s="239"/>
      <c r="H8" s="239" t="s">
        <v>361</v>
      </c>
      <c r="I8" s="239"/>
      <c r="K8" s="239" t="s">
        <v>517</v>
      </c>
      <c r="L8" s="239"/>
    </row>
    <row r="9" spans="2:18" ht="15" customHeight="1" x14ac:dyDescent="0.3"/>
    <row r="10" spans="2:18" ht="15" customHeight="1" x14ac:dyDescent="0.3"/>
    <row r="11" spans="2:18" ht="21.75" customHeight="1" x14ac:dyDescent="0.3">
      <c r="B11" s="195" t="s">
        <v>518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8" ht="30" customHeight="1" x14ac:dyDescent="0.3">
      <c r="B12" s="29" t="s">
        <v>364</v>
      </c>
      <c r="C12" s="29" t="s">
        <v>365</v>
      </c>
      <c r="D12" s="29" t="s">
        <v>366</v>
      </c>
      <c r="E12" s="29" t="s">
        <v>730</v>
      </c>
      <c r="F12" s="29" t="s">
        <v>732</v>
      </c>
      <c r="G12" s="29" t="s">
        <v>367</v>
      </c>
      <c r="H12" s="29" t="s">
        <v>368</v>
      </c>
      <c r="I12" s="29" t="s">
        <v>369</v>
      </c>
      <c r="J12" s="29" t="s">
        <v>18</v>
      </c>
    </row>
    <row r="13" spans="2:18" ht="24" customHeight="1" x14ac:dyDescent="0.3">
      <c r="B13" s="127" t="s">
        <v>300</v>
      </c>
      <c r="C13" s="128">
        <v>5</v>
      </c>
      <c r="D13" s="128">
        <v>12</v>
      </c>
      <c r="E13" s="129">
        <v>14</v>
      </c>
      <c r="F13" s="130">
        <f>E13*D13</f>
        <v>168</v>
      </c>
      <c r="G13" s="54">
        <v>3</v>
      </c>
      <c r="H13" s="54">
        <v>36</v>
      </c>
      <c r="I13" s="54">
        <v>2</v>
      </c>
      <c r="J13" s="127" t="s">
        <v>519</v>
      </c>
      <c r="M13" s="229"/>
      <c r="N13" s="229"/>
      <c r="O13" s="229"/>
      <c r="P13" s="229"/>
      <c r="Q13" s="229"/>
      <c r="R13" s="229"/>
    </row>
    <row r="14" spans="2:18" ht="24" customHeight="1" x14ac:dyDescent="0.3">
      <c r="B14" s="127" t="s">
        <v>304</v>
      </c>
      <c r="C14" s="128">
        <v>3</v>
      </c>
      <c r="D14" s="128">
        <v>12</v>
      </c>
      <c r="E14" s="129">
        <v>26</v>
      </c>
      <c r="F14" s="130">
        <f t="shared" ref="F14:F21" si="0">E14*D14</f>
        <v>312</v>
      </c>
      <c r="G14" s="54">
        <v>2</v>
      </c>
      <c r="H14" s="54">
        <v>24</v>
      </c>
      <c r="I14" s="54">
        <v>3</v>
      </c>
      <c r="J14" s="127" t="s">
        <v>520</v>
      </c>
      <c r="M14" s="229"/>
      <c r="N14" s="229"/>
      <c r="O14" s="229"/>
      <c r="P14" s="229"/>
      <c r="Q14" s="229"/>
      <c r="R14" s="229"/>
    </row>
    <row r="15" spans="2:18" ht="24" customHeight="1" x14ac:dyDescent="0.3">
      <c r="B15" s="127" t="s">
        <v>371</v>
      </c>
      <c r="C15" s="128">
        <v>8</v>
      </c>
      <c r="D15" s="128">
        <v>8</v>
      </c>
      <c r="E15" s="129">
        <v>39</v>
      </c>
      <c r="F15" s="130">
        <f t="shared" si="0"/>
        <v>312</v>
      </c>
      <c r="G15" s="54">
        <v>2</v>
      </c>
      <c r="H15" s="54">
        <v>16</v>
      </c>
      <c r="I15" s="54">
        <v>1</v>
      </c>
      <c r="J15" s="127" t="s">
        <v>521</v>
      </c>
      <c r="M15" s="229"/>
      <c r="N15" s="229"/>
      <c r="O15" s="229"/>
      <c r="P15" s="229"/>
      <c r="Q15" s="229"/>
      <c r="R15" s="229"/>
    </row>
    <row r="16" spans="2:18" ht="24" customHeight="1" x14ac:dyDescent="0.3">
      <c r="B16" s="127" t="s">
        <v>372</v>
      </c>
      <c r="C16" s="128">
        <v>2</v>
      </c>
      <c r="D16" s="128">
        <v>8</v>
      </c>
      <c r="E16" s="129">
        <v>14</v>
      </c>
      <c r="F16" s="130">
        <f t="shared" si="0"/>
        <v>112</v>
      </c>
      <c r="G16" s="54">
        <v>2</v>
      </c>
      <c r="H16" s="54">
        <v>16</v>
      </c>
      <c r="I16" s="54">
        <v>1</v>
      </c>
      <c r="J16" s="127" t="s">
        <v>522</v>
      </c>
      <c r="M16" s="229"/>
      <c r="N16" s="229"/>
      <c r="O16" s="229"/>
      <c r="P16" s="229"/>
      <c r="Q16" s="229"/>
      <c r="R16" s="229"/>
    </row>
    <row r="17" spans="2:18" ht="24" customHeight="1" x14ac:dyDescent="0.3">
      <c r="B17" s="127" t="s">
        <v>731</v>
      </c>
      <c r="C17" s="128">
        <v>2</v>
      </c>
      <c r="D17" s="128">
        <v>4</v>
      </c>
      <c r="E17" s="129">
        <v>17</v>
      </c>
      <c r="F17" s="130">
        <f t="shared" si="0"/>
        <v>68</v>
      </c>
      <c r="G17" s="54">
        <v>4</v>
      </c>
      <c r="H17" s="54">
        <v>16</v>
      </c>
      <c r="I17" s="54">
        <v>3</v>
      </c>
      <c r="J17" s="127" t="s">
        <v>523</v>
      </c>
      <c r="M17" s="229"/>
      <c r="N17" s="229"/>
      <c r="O17" s="229"/>
      <c r="P17" s="229"/>
      <c r="Q17" s="229"/>
      <c r="R17" s="229"/>
    </row>
    <row r="18" spans="2:18" ht="24" customHeight="1" x14ac:dyDescent="0.3">
      <c r="B18" s="127" t="s">
        <v>375</v>
      </c>
      <c r="C18" s="128">
        <v>0</v>
      </c>
      <c r="D18" s="128">
        <v>2</v>
      </c>
      <c r="E18" s="129">
        <v>14</v>
      </c>
      <c r="F18" s="130">
        <f t="shared" si="0"/>
        <v>28</v>
      </c>
      <c r="G18" s="54">
        <v>2</v>
      </c>
      <c r="H18" s="54">
        <v>4</v>
      </c>
      <c r="I18" s="54">
        <v>1</v>
      </c>
      <c r="J18" s="127" t="s">
        <v>380</v>
      </c>
      <c r="M18" s="229"/>
      <c r="N18" s="229"/>
      <c r="O18" s="229"/>
      <c r="P18" s="229"/>
      <c r="Q18" s="229"/>
      <c r="R18" s="229"/>
    </row>
    <row r="19" spans="2:18" ht="24" customHeight="1" x14ac:dyDescent="0.3">
      <c r="B19" s="127" t="s">
        <v>297</v>
      </c>
      <c r="C19" s="128">
        <v>2</v>
      </c>
      <c r="D19" s="128">
        <v>3</v>
      </c>
      <c r="E19" s="129">
        <v>6</v>
      </c>
      <c r="F19" s="130">
        <f t="shared" si="0"/>
        <v>18</v>
      </c>
      <c r="G19" s="54">
        <v>3</v>
      </c>
      <c r="H19" s="54">
        <v>9</v>
      </c>
      <c r="I19" s="54">
        <v>3</v>
      </c>
      <c r="J19" s="127" t="s">
        <v>380</v>
      </c>
      <c r="M19" s="229"/>
      <c r="N19" s="229"/>
      <c r="O19" s="229"/>
      <c r="P19" s="229"/>
      <c r="Q19" s="229"/>
      <c r="R19" s="229"/>
    </row>
    <row r="20" spans="2:18" ht="23.25" customHeight="1" x14ac:dyDescent="0.3">
      <c r="B20" s="127" t="s">
        <v>306</v>
      </c>
      <c r="C20" s="128">
        <v>1</v>
      </c>
      <c r="D20" s="128">
        <v>1</v>
      </c>
      <c r="E20" s="129">
        <v>58</v>
      </c>
      <c r="F20" s="130">
        <f t="shared" si="0"/>
        <v>58</v>
      </c>
      <c r="G20" s="54" t="s">
        <v>377</v>
      </c>
      <c r="H20" s="54">
        <v>0</v>
      </c>
      <c r="I20" s="54" t="s">
        <v>378</v>
      </c>
      <c r="J20" s="127" t="s">
        <v>524</v>
      </c>
      <c r="M20" s="229"/>
      <c r="N20" s="229"/>
      <c r="O20" s="229"/>
      <c r="P20" s="229"/>
      <c r="Q20" s="229"/>
      <c r="R20" s="229"/>
    </row>
    <row r="21" spans="2:18" ht="23.25" customHeight="1" x14ac:dyDescent="0.3">
      <c r="B21" s="127" t="s">
        <v>420</v>
      </c>
      <c r="C21" s="128">
        <v>0</v>
      </c>
      <c r="D21" s="128">
        <v>1</v>
      </c>
      <c r="E21" s="129">
        <v>81</v>
      </c>
      <c r="F21" s="130">
        <f t="shared" si="0"/>
        <v>81</v>
      </c>
      <c r="G21" s="54" t="s">
        <v>377</v>
      </c>
      <c r="H21" s="54">
        <v>0</v>
      </c>
      <c r="I21" s="54" t="s">
        <v>378</v>
      </c>
      <c r="J21" s="127"/>
    </row>
    <row r="22" spans="2:18" ht="23.25" customHeight="1" x14ac:dyDescent="0.3">
      <c r="B22" s="127" t="s">
        <v>17</v>
      </c>
      <c r="C22" s="128">
        <v>8</v>
      </c>
      <c r="D22" s="128">
        <v>20</v>
      </c>
      <c r="E22" s="129"/>
      <c r="F22" s="130"/>
      <c r="G22" s="54"/>
      <c r="H22" s="54"/>
      <c r="I22" s="54">
        <v>5</v>
      </c>
      <c r="J22" s="127"/>
    </row>
    <row r="23" spans="2:18" ht="21.75" customHeight="1" x14ac:dyDescent="0.3">
      <c r="B23" s="131" t="s">
        <v>381</v>
      </c>
      <c r="C23" s="132">
        <v>31</v>
      </c>
      <c r="D23" s="132">
        <v>51</v>
      </c>
      <c r="E23" s="132"/>
      <c r="F23" s="133">
        <f>SUM(F13:F21)</f>
        <v>1157</v>
      </c>
      <c r="G23" s="132"/>
      <c r="H23" s="132">
        <v>121</v>
      </c>
      <c r="I23" s="132"/>
      <c r="J23" s="132"/>
    </row>
    <row r="24" spans="2:18" ht="15.75" customHeight="1" x14ac:dyDescent="0.3"/>
    <row r="25" spans="2:18" ht="15.75" customHeight="1" x14ac:dyDescent="0.3">
      <c r="B25" s="230" t="s">
        <v>750</v>
      </c>
      <c r="C25" s="230"/>
      <c r="D25" s="230"/>
      <c r="E25" s="230"/>
      <c r="F25" s="230"/>
      <c r="G25" s="230"/>
      <c r="H25" s="230"/>
    </row>
    <row r="26" spans="2:18" ht="15.75" customHeight="1" x14ac:dyDescent="0.3">
      <c r="B26" s="29" t="s">
        <v>402</v>
      </c>
      <c r="C26" s="29" t="s">
        <v>86</v>
      </c>
      <c r="D26" s="29" t="s">
        <v>87</v>
      </c>
      <c r="E26" s="29" t="s">
        <v>88</v>
      </c>
      <c r="F26" s="29" t="s">
        <v>89</v>
      </c>
      <c r="G26" s="29" t="s">
        <v>90</v>
      </c>
    </row>
    <row r="27" spans="2:18" ht="15.75" customHeight="1" x14ac:dyDescent="0.3">
      <c r="B27" s="30" t="s">
        <v>19</v>
      </c>
      <c r="C27" s="135">
        <v>51</v>
      </c>
      <c r="D27" s="136">
        <v>12</v>
      </c>
      <c r="E27" s="136">
        <v>13</v>
      </c>
      <c r="F27" s="136">
        <v>13</v>
      </c>
      <c r="G27" s="136">
        <v>13</v>
      </c>
    </row>
    <row r="28" spans="2:18" ht="15.75" customHeight="1" x14ac:dyDescent="0.3">
      <c r="B28" s="30" t="s">
        <v>751</v>
      </c>
      <c r="C28" s="135">
        <v>1157</v>
      </c>
      <c r="D28" s="136">
        <f>C28/51*12</f>
        <v>272.23529411764707</v>
      </c>
      <c r="E28" s="136">
        <f>C28/51*13</f>
        <v>294.92156862745099</v>
      </c>
      <c r="F28" s="136">
        <f>C28/51*13</f>
        <v>294.92156862745099</v>
      </c>
      <c r="G28" s="136">
        <f>C28/51*13</f>
        <v>294.92156862745099</v>
      </c>
    </row>
    <row r="29" spans="2:18" ht="15.75" customHeight="1" x14ac:dyDescent="0.3"/>
    <row r="30" spans="2:18" ht="21.75" customHeight="1" x14ac:dyDescent="0.3">
      <c r="B30" s="195" t="s">
        <v>525</v>
      </c>
      <c r="C30" s="195"/>
      <c r="D30" s="195"/>
      <c r="E30" s="195"/>
      <c r="F30" s="195"/>
      <c r="G30" s="195"/>
      <c r="H30" s="195"/>
      <c r="I30" s="195"/>
      <c r="J30" s="195"/>
      <c r="K30" s="195"/>
    </row>
    <row r="31" spans="2:18" ht="30" customHeight="1" x14ac:dyDescent="0.3">
      <c r="B31" s="29" t="s">
        <v>85</v>
      </c>
      <c r="C31" s="29" t="s">
        <v>526</v>
      </c>
      <c r="D31" s="29" t="s">
        <v>527</v>
      </c>
      <c r="E31" s="29" t="s">
        <v>528</v>
      </c>
      <c r="F31" s="29" t="s">
        <v>18</v>
      </c>
    </row>
    <row r="32" spans="2:18" ht="32.25" customHeight="1" x14ac:dyDescent="0.3">
      <c r="B32" s="127" t="s">
        <v>529</v>
      </c>
      <c r="C32" s="54" t="s">
        <v>530</v>
      </c>
      <c r="D32" s="54">
        <v>51</v>
      </c>
      <c r="E32" s="155">
        <v>115700000</v>
      </c>
      <c r="F32" s="127" t="s">
        <v>531</v>
      </c>
    </row>
    <row r="33" spans="2:11" ht="21.75" customHeight="1" x14ac:dyDescent="0.3">
      <c r="B33" s="127" t="s">
        <v>17</v>
      </c>
      <c r="C33" s="54">
        <v>2</v>
      </c>
      <c r="D33" s="54">
        <v>20</v>
      </c>
      <c r="E33" s="54"/>
      <c r="F33" s="127" t="s">
        <v>532</v>
      </c>
    </row>
    <row r="34" spans="2:11" ht="42.75" customHeight="1" x14ac:dyDescent="0.3">
      <c r="B34" s="131" t="s">
        <v>533</v>
      </c>
      <c r="C34" s="132"/>
      <c r="D34" s="132"/>
      <c r="E34" s="132"/>
      <c r="F34" s="132"/>
    </row>
    <row r="35" spans="2:11" ht="21.75" customHeight="1" x14ac:dyDescent="0.3"/>
    <row r="36" spans="2:11" ht="15" customHeight="1" x14ac:dyDescent="0.3">
      <c r="B36" s="1" t="s">
        <v>393</v>
      </c>
    </row>
    <row r="37" spans="2:11" ht="21.75" customHeight="1" x14ac:dyDescent="0.3">
      <c r="B37" s="232" t="s">
        <v>736</v>
      </c>
      <c r="C37" s="232"/>
      <c r="D37" s="232"/>
      <c r="E37" s="232"/>
      <c r="F37" s="232"/>
      <c r="G37" s="232"/>
      <c r="H37" s="232"/>
      <c r="I37" s="232"/>
      <c r="J37" s="232"/>
      <c r="K37" s="232"/>
    </row>
    <row r="38" spans="2:11" ht="27.75" customHeight="1" x14ac:dyDescent="0.3">
      <c r="B38" s="232" t="s">
        <v>534</v>
      </c>
      <c r="C38" s="232"/>
      <c r="D38" s="232"/>
      <c r="E38" s="232"/>
      <c r="F38" s="232"/>
      <c r="G38" s="232"/>
      <c r="H38" s="232"/>
      <c r="I38" s="232"/>
      <c r="J38" s="232"/>
      <c r="K38" s="232"/>
    </row>
    <row r="39" spans="2:11" ht="27.75" customHeight="1" x14ac:dyDescent="0.3">
      <c r="B39" s="232" t="s">
        <v>535</v>
      </c>
      <c r="C39" s="232"/>
      <c r="D39" s="232"/>
      <c r="E39" s="232"/>
      <c r="F39" s="232"/>
      <c r="G39" s="232"/>
      <c r="H39" s="232"/>
      <c r="I39" s="232"/>
      <c r="J39" s="232"/>
      <c r="K39" s="232"/>
    </row>
    <row r="40" spans="2:11" ht="27.75" customHeight="1" x14ac:dyDescent="0.3">
      <c r="B40" s="232" t="s">
        <v>536</v>
      </c>
      <c r="C40" s="232"/>
      <c r="D40" s="232"/>
      <c r="E40" s="232"/>
      <c r="F40" s="232"/>
      <c r="G40" s="232"/>
      <c r="H40" s="232"/>
      <c r="I40" s="232"/>
      <c r="J40" s="232"/>
      <c r="K40" s="232"/>
    </row>
    <row r="41" spans="2:11" ht="27.75" customHeight="1" x14ac:dyDescent="0.3">
      <c r="B41" s="232" t="s">
        <v>537</v>
      </c>
      <c r="C41" s="232"/>
      <c r="D41" s="232"/>
      <c r="E41" s="232"/>
      <c r="F41" s="232"/>
      <c r="G41" s="232"/>
      <c r="H41" s="232"/>
      <c r="I41" s="232"/>
      <c r="J41" s="232"/>
      <c r="K41" s="232"/>
    </row>
    <row r="42" spans="2:11" ht="27.75" customHeight="1" x14ac:dyDescent="0.3">
      <c r="B42" s="134"/>
    </row>
    <row r="43" spans="2:11" ht="27.75" customHeight="1" x14ac:dyDescent="0.3">
      <c r="B43" s="232" t="s">
        <v>538</v>
      </c>
      <c r="C43" s="232"/>
      <c r="D43" s="232"/>
      <c r="E43" s="232"/>
      <c r="F43" s="232"/>
      <c r="G43" s="232"/>
      <c r="H43" s="232"/>
      <c r="I43" s="232"/>
      <c r="J43" s="232"/>
      <c r="K43" s="232"/>
    </row>
    <row r="44" spans="2:11" ht="27.75" customHeight="1" x14ac:dyDescent="0.3">
      <c r="B44" s="238"/>
      <c r="C44" s="238"/>
      <c r="D44" s="238"/>
      <c r="E44" s="238"/>
      <c r="F44" s="238"/>
      <c r="G44" s="238"/>
      <c r="H44" s="238"/>
      <c r="I44" s="238"/>
      <c r="J44" s="238"/>
      <c r="K44" s="238"/>
    </row>
    <row r="45" spans="2:11" ht="15.75" customHeight="1" x14ac:dyDescent="0.3"/>
    <row r="46" spans="2:11" ht="19.5" customHeight="1" x14ac:dyDescent="0.3">
      <c r="B46" s="230" t="s">
        <v>401</v>
      </c>
      <c r="C46" s="230"/>
      <c r="D46" s="230"/>
      <c r="E46" s="230"/>
      <c r="F46" s="230"/>
      <c r="G46" s="230"/>
      <c r="H46" s="230"/>
    </row>
    <row r="47" spans="2:11" ht="15.75" customHeight="1" x14ac:dyDescent="0.3">
      <c r="B47" s="29" t="s">
        <v>402</v>
      </c>
      <c r="C47" s="29" t="s">
        <v>86</v>
      </c>
      <c r="D47" s="29" t="s">
        <v>87</v>
      </c>
      <c r="E47" s="29" t="s">
        <v>88</v>
      </c>
      <c r="F47" s="29" t="s">
        <v>89</v>
      </c>
      <c r="G47" s="29" t="s">
        <v>90</v>
      </c>
    </row>
    <row r="48" spans="2:11" ht="15.75" customHeight="1" x14ac:dyDescent="0.3">
      <c r="B48" s="30" t="s">
        <v>403</v>
      </c>
      <c r="C48" s="135">
        <v>20</v>
      </c>
      <c r="D48" s="136">
        <v>5</v>
      </c>
      <c r="E48" s="136">
        <v>5</v>
      </c>
      <c r="F48" s="136">
        <v>5</v>
      </c>
      <c r="G48" s="136">
        <v>5</v>
      </c>
    </row>
    <row r="49" spans="2:8" ht="15.75" customHeight="1" x14ac:dyDescent="0.3">
      <c r="B49" s="191" t="s">
        <v>539</v>
      </c>
      <c r="C49" s="191"/>
      <c r="D49" s="191"/>
      <c r="E49" s="191"/>
      <c r="F49" s="191"/>
      <c r="G49" s="191"/>
      <c r="H49" s="191"/>
    </row>
    <row r="50" spans="2:8" ht="15.75" customHeight="1" x14ac:dyDescent="0.3">
      <c r="B50" s="191"/>
      <c r="C50" s="191"/>
      <c r="D50" s="191"/>
      <c r="E50" s="191"/>
      <c r="F50" s="191"/>
      <c r="G50" s="191"/>
      <c r="H50" s="191"/>
    </row>
    <row r="51" spans="2:8" ht="15.75" customHeight="1" x14ac:dyDescent="0.3"/>
    <row r="52" spans="2:8" ht="15.75" customHeight="1" x14ac:dyDescent="0.3"/>
    <row r="53" spans="2:8" ht="15.75" customHeight="1" x14ac:dyDescent="0.3"/>
    <row r="54" spans="2:8" ht="15.75" customHeight="1" x14ac:dyDescent="0.3"/>
    <row r="55" spans="2:8" ht="15.75" customHeight="1" x14ac:dyDescent="0.3"/>
    <row r="56" spans="2:8" ht="15.75" customHeight="1" x14ac:dyDescent="0.3"/>
    <row r="57" spans="2:8" ht="15.75" customHeight="1" x14ac:dyDescent="0.3"/>
    <row r="58" spans="2:8" ht="15.75" customHeight="1" x14ac:dyDescent="0.3"/>
    <row r="59" spans="2:8" ht="15.75" customHeight="1" x14ac:dyDescent="0.3"/>
    <row r="60" spans="2:8" ht="15.75" customHeight="1" x14ac:dyDescent="0.3"/>
    <row r="61" spans="2:8" ht="15.75" customHeight="1" x14ac:dyDescent="0.3"/>
    <row r="62" spans="2:8" ht="15.75" customHeight="1" x14ac:dyDescent="0.3"/>
    <row r="63" spans="2:8" ht="15.75" customHeight="1" x14ac:dyDescent="0.3"/>
    <row r="64" spans="2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mergeCells count="27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M13:R20"/>
    <mergeCell ref="B30:K30"/>
    <mergeCell ref="B37:K37"/>
    <mergeCell ref="B38:K38"/>
    <mergeCell ref="B39:K39"/>
    <mergeCell ref="B25:H25"/>
    <mergeCell ref="B49:H50"/>
    <mergeCell ref="B40:K40"/>
    <mergeCell ref="B41:K41"/>
    <mergeCell ref="B43:K43"/>
    <mergeCell ref="B44:K44"/>
    <mergeCell ref="B46:H46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R1006"/>
  <sheetViews>
    <sheetView showGridLines="0" topLeftCell="A13" zoomScaleNormal="100" workbookViewId="0">
      <selection activeCell="C26" sqref="C26"/>
    </sheetView>
  </sheetViews>
  <sheetFormatPr defaultColWidth="14.44140625" defaultRowHeight="14.4" x14ac:dyDescent="0.3"/>
  <cols>
    <col min="1" max="1" width="2" customWidth="1"/>
    <col min="2" max="2" width="28" customWidth="1"/>
    <col min="3" max="3" width="13" customWidth="1"/>
    <col min="4" max="9" width="8.6640625" customWidth="1"/>
    <col min="10" max="10" width="30" customWidth="1"/>
    <col min="11" max="11" width="2" customWidth="1"/>
    <col min="12" max="26" width="8.6640625" customWidth="1"/>
  </cols>
  <sheetData>
    <row r="1" spans="2:18" ht="15" customHeight="1" x14ac:dyDescent="0.3"/>
    <row r="2" spans="2:18" ht="31.5" customHeight="1" x14ac:dyDescent="0.3">
      <c r="B2" s="209" t="s">
        <v>540</v>
      </c>
      <c r="C2" s="209"/>
      <c r="D2" s="209"/>
      <c r="E2" s="209"/>
      <c r="F2" s="209"/>
      <c r="G2" s="209"/>
      <c r="H2" s="209"/>
      <c r="I2" s="209"/>
      <c r="J2" s="209"/>
    </row>
    <row r="3" spans="2:18" ht="15" customHeight="1" x14ac:dyDescent="0.3"/>
    <row r="4" spans="2:18" ht="39.75" customHeight="1" x14ac:dyDescent="0.3">
      <c r="B4" s="207" t="s">
        <v>541</v>
      </c>
      <c r="C4" s="207"/>
      <c r="D4" s="207"/>
      <c r="E4" s="207"/>
      <c r="F4" s="207"/>
      <c r="G4" s="207"/>
      <c r="H4" s="207"/>
      <c r="I4" s="207"/>
      <c r="J4" s="207"/>
    </row>
    <row r="5" spans="2:18" ht="15" customHeight="1" x14ac:dyDescent="0.3"/>
    <row r="6" spans="2:18" ht="18" customHeight="1" x14ac:dyDescent="0.3">
      <c r="B6" s="234" t="s">
        <v>354</v>
      </c>
      <c r="C6" s="234"/>
      <c r="E6" s="234" t="s">
        <v>355</v>
      </c>
      <c r="F6" s="234"/>
      <c r="H6" s="234" t="s">
        <v>733</v>
      </c>
      <c r="I6" s="234"/>
      <c r="K6" s="234" t="s">
        <v>356</v>
      </c>
      <c r="L6" s="234"/>
    </row>
    <row r="7" spans="2:18" ht="31.5" customHeight="1" x14ac:dyDescent="0.3">
      <c r="B7" s="235" t="s">
        <v>542</v>
      </c>
      <c r="C7" s="235"/>
      <c r="E7" s="235" t="s">
        <v>543</v>
      </c>
      <c r="F7" s="235"/>
      <c r="H7" s="235">
        <v>356</v>
      </c>
      <c r="I7" s="235"/>
      <c r="K7" s="235" t="s">
        <v>544</v>
      </c>
      <c r="L7" s="235"/>
    </row>
    <row r="8" spans="2:18" ht="27.75" customHeight="1" x14ac:dyDescent="0.3">
      <c r="B8" s="233" t="s">
        <v>545</v>
      </c>
      <c r="C8" s="233"/>
      <c r="E8" s="233" t="s">
        <v>359</v>
      </c>
      <c r="F8" s="233"/>
      <c r="H8" s="233" t="s">
        <v>361</v>
      </c>
      <c r="I8" s="233"/>
      <c r="K8" s="233" t="s">
        <v>546</v>
      </c>
      <c r="L8" s="233"/>
    </row>
    <row r="9" spans="2:18" ht="15" customHeight="1" x14ac:dyDescent="0.3"/>
    <row r="10" spans="2:18" ht="15" customHeight="1" x14ac:dyDescent="0.3"/>
    <row r="11" spans="2:18" ht="21.75" customHeight="1" x14ac:dyDescent="0.3">
      <c r="B11" s="195" t="s">
        <v>412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8" ht="30" customHeight="1" x14ac:dyDescent="0.3">
      <c r="B12" s="29" t="s">
        <v>364</v>
      </c>
      <c r="C12" s="29" t="s">
        <v>365</v>
      </c>
      <c r="D12" s="29" t="s">
        <v>366</v>
      </c>
      <c r="E12" s="29" t="s">
        <v>730</v>
      </c>
      <c r="F12" s="29" t="s">
        <v>732</v>
      </c>
      <c r="G12" s="29" t="s">
        <v>367</v>
      </c>
      <c r="H12" s="29" t="s">
        <v>368</v>
      </c>
      <c r="I12" s="29" t="s">
        <v>369</v>
      </c>
      <c r="J12" s="29" t="s">
        <v>18</v>
      </c>
    </row>
    <row r="13" spans="2:18" ht="30.75" customHeight="1" x14ac:dyDescent="0.3">
      <c r="B13" s="127" t="s">
        <v>300</v>
      </c>
      <c r="C13" s="128">
        <v>2</v>
      </c>
      <c r="D13" s="128">
        <v>5</v>
      </c>
      <c r="E13" s="129">
        <v>14</v>
      </c>
      <c r="F13" s="130">
        <f>E13*D13</f>
        <v>70</v>
      </c>
      <c r="G13" s="54">
        <v>4</v>
      </c>
      <c r="H13" s="54">
        <v>20</v>
      </c>
      <c r="I13" s="54">
        <v>2</v>
      </c>
      <c r="J13" s="127" t="s">
        <v>547</v>
      </c>
      <c r="M13" s="229"/>
      <c r="N13" s="229"/>
      <c r="O13" s="229"/>
      <c r="P13" s="229"/>
      <c r="Q13" s="229"/>
      <c r="R13" s="229"/>
    </row>
    <row r="14" spans="2:18" ht="30.75" customHeight="1" x14ac:dyDescent="0.3">
      <c r="B14" s="127" t="s">
        <v>371</v>
      </c>
      <c r="C14" s="128">
        <v>4</v>
      </c>
      <c r="D14" s="128">
        <v>2</v>
      </c>
      <c r="E14" s="129">
        <v>39</v>
      </c>
      <c r="F14" s="130">
        <f t="shared" ref="F14:F21" si="0">E14*D14</f>
        <v>78</v>
      </c>
      <c r="G14" s="54">
        <v>5</v>
      </c>
      <c r="H14" s="54">
        <v>10</v>
      </c>
      <c r="I14" s="54">
        <v>1</v>
      </c>
      <c r="J14" s="127" t="s">
        <v>548</v>
      </c>
      <c r="M14" s="229"/>
      <c r="N14" s="229"/>
      <c r="O14" s="229"/>
      <c r="P14" s="229"/>
      <c r="Q14" s="229"/>
      <c r="R14" s="229"/>
    </row>
    <row r="15" spans="2:18" ht="30.75" customHeight="1" x14ac:dyDescent="0.3">
      <c r="B15" s="127" t="s">
        <v>372</v>
      </c>
      <c r="C15" s="128">
        <v>1</v>
      </c>
      <c r="D15" s="128">
        <v>2</v>
      </c>
      <c r="E15" s="129">
        <v>14</v>
      </c>
      <c r="F15" s="130">
        <f t="shared" si="0"/>
        <v>28</v>
      </c>
      <c r="G15" s="54">
        <v>5</v>
      </c>
      <c r="H15" s="54">
        <v>10</v>
      </c>
      <c r="I15" s="54">
        <v>1</v>
      </c>
      <c r="J15" s="127" t="s">
        <v>549</v>
      </c>
      <c r="M15" s="229"/>
      <c r="N15" s="229"/>
      <c r="O15" s="229"/>
      <c r="P15" s="229"/>
      <c r="Q15" s="229"/>
      <c r="R15" s="229"/>
    </row>
    <row r="16" spans="2:18" ht="30.75" customHeight="1" x14ac:dyDescent="0.3">
      <c r="B16" s="127" t="s">
        <v>304</v>
      </c>
      <c r="C16" s="128">
        <v>0</v>
      </c>
      <c r="D16" s="128">
        <v>3</v>
      </c>
      <c r="E16" s="129">
        <v>26</v>
      </c>
      <c r="F16" s="130">
        <f t="shared" si="0"/>
        <v>78</v>
      </c>
      <c r="G16" s="54">
        <v>4</v>
      </c>
      <c r="H16" s="54">
        <v>12</v>
      </c>
      <c r="I16" s="54">
        <v>3</v>
      </c>
      <c r="J16" s="127" t="s">
        <v>550</v>
      </c>
      <c r="M16" s="229"/>
      <c r="N16" s="229"/>
      <c r="O16" s="229"/>
      <c r="P16" s="229"/>
      <c r="Q16" s="229"/>
      <c r="R16" s="229"/>
    </row>
    <row r="17" spans="2:18" ht="30.75" customHeight="1" x14ac:dyDescent="0.3">
      <c r="B17" s="127" t="s">
        <v>375</v>
      </c>
      <c r="C17" s="128">
        <v>0</v>
      </c>
      <c r="D17" s="128">
        <v>1</v>
      </c>
      <c r="E17" s="129">
        <v>14</v>
      </c>
      <c r="F17" s="130">
        <f t="shared" si="0"/>
        <v>14</v>
      </c>
      <c r="G17" s="54">
        <v>5</v>
      </c>
      <c r="H17" s="54">
        <v>5</v>
      </c>
      <c r="I17" s="54">
        <v>1</v>
      </c>
      <c r="J17" s="127" t="s">
        <v>551</v>
      </c>
      <c r="M17" s="229"/>
      <c r="N17" s="229"/>
      <c r="O17" s="229"/>
      <c r="P17" s="229"/>
      <c r="Q17" s="229"/>
      <c r="R17" s="229"/>
    </row>
    <row r="18" spans="2:18" ht="30.75" customHeight="1" x14ac:dyDescent="0.3">
      <c r="B18" s="127" t="s">
        <v>731</v>
      </c>
      <c r="C18" s="128">
        <v>2</v>
      </c>
      <c r="D18" s="128">
        <v>1</v>
      </c>
      <c r="E18" s="129">
        <v>17</v>
      </c>
      <c r="F18" s="130">
        <f t="shared" si="0"/>
        <v>17</v>
      </c>
      <c r="G18" s="54">
        <v>5</v>
      </c>
      <c r="H18" s="54">
        <v>5</v>
      </c>
      <c r="I18" s="54">
        <v>3</v>
      </c>
      <c r="J18" s="127" t="s">
        <v>552</v>
      </c>
      <c r="M18" s="229"/>
      <c r="N18" s="229"/>
      <c r="O18" s="229"/>
      <c r="P18" s="229"/>
      <c r="Q18" s="229"/>
      <c r="R18" s="229"/>
    </row>
    <row r="19" spans="2:18" ht="30.75" customHeight="1" x14ac:dyDescent="0.3">
      <c r="B19" s="127" t="s">
        <v>297</v>
      </c>
      <c r="C19" s="128">
        <v>0</v>
      </c>
      <c r="D19" s="128">
        <v>1</v>
      </c>
      <c r="E19" s="129">
        <v>6</v>
      </c>
      <c r="F19" s="130">
        <f t="shared" si="0"/>
        <v>6</v>
      </c>
      <c r="G19" s="54">
        <v>1</v>
      </c>
      <c r="H19" s="54">
        <v>1</v>
      </c>
      <c r="I19" s="54">
        <v>3</v>
      </c>
      <c r="J19" s="127" t="s">
        <v>553</v>
      </c>
      <c r="M19" s="229"/>
      <c r="N19" s="229"/>
      <c r="O19" s="229"/>
      <c r="P19" s="229"/>
      <c r="Q19" s="229"/>
      <c r="R19" s="229"/>
    </row>
    <row r="20" spans="2:18" ht="30.75" customHeight="1" x14ac:dyDescent="0.3">
      <c r="B20" s="127" t="s">
        <v>306</v>
      </c>
      <c r="C20" s="128">
        <v>1</v>
      </c>
      <c r="D20" s="128">
        <v>1</v>
      </c>
      <c r="E20" s="129">
        <v>58</v>
      </c>
      <c r="F20" s="130">
        <f t="shared" si="0"/>
        <v>58</v>
      </c>
      <c r="G20" s="54" t="s">
        <v>377</v>
      </c>
      <c r="H20" s="54">
        <v>0</v>
      </c>
      <c r="I20" s="54" t="s">
        <v>378</v>
      </c>
      <c r="J20" s="127" t="s">
        <v>554</v>
      </c>
      <c r="M20" s="229"/>
      <c r="N20" s="229"/>
      <c r="O20" s="229"/>
      <c r="P20" s="229"/>
      <c r="Q20" s="229"/>
      <c r="R20" s="229"/>
    </row>
    <row r="21" spans="2:18" ht="30.75" customHeight="1" x14ac:dyDescent="0.3">
      <c r="B21" s="127" t="s">
        <v>555</v>
      </c>
      <c r="C21" s="128">
        <v>0</v>
      </c>
      <c r="D21" s="128">
        <v>1</v>
      </c>
      <c r="E21" s="129">
        <v>7</v>
      </c>
      <c r="F21" s="130">
        <f t="shared" si="0"/>
        <v>7</v>
      </c>
      <c r="G21" s="54" t="s">
        <v>377</v>
      </c>
      <c r="H21" s="54">
        <v>0</v>
      </c>
      <c r="I21" s="54" t="s">
        <v>378</v>
      </c>
      <c r="J21" s="127" t="s">
        <v>556</v>
      </c>
    </row>
    <row r="22" spans="2:18" ht="30.75" customHeight="1" x14ac:dyDescent="0.3">
      <c r="B22" s="127" t="s">
        <v>17</v>
      </c>
      <c r="C22" s="128">
        <v>0</v>
      </c>
      <c r="D22" s="128">
        <v>10</v>
      </c>
      <c r="E22" s="129"/>
      <c r="F22" s="130"/>
      <c r="G22" s="54"/>
      <c r="H22" s="54"/>
      <c r="I22" s="54">
        <v>5</v>
      </c>
      <c r="J22" s="127"/>
    </row>
    <row r="23" spans="2:18" ht="21.75" customHeight="1" x14ac:dyDescent="0.3">
      <c r="B23" s="131" t="s">
        <v>381</v>
      </c>
      <c r="C23" s="132">
        <v>10</v>
      </c>
      <c r="D23" s="132">
        <v>17</v>
      </c>
      <c r="E23" s="132"/>
      <c r="F23" s="133">
        <f>SUM(F13:F21)</f>
        <v>356</v>
      </c>
      <c r="G23" s="132"/>
      <c r="H23" s="132">
        <v>63</v>
      </c>
      <c r="I23" s="132"/>
      <c r="J23" s="132"/>
    </row>
    <row r="24" spans="2:18" ht="15.75" customHeight="1" x14ac:dyDescent="0.3"/>
    <row r="25" spans="2:18" ht="15.75" customHeight="1" x14ac:dyDescent="0.3">
      <c r="B25" s="230" t="s">
        <v>750</v>
      </c>
      <c r="C25" s="230"/>
      <c r="D25" s="230"/>
      <c r="E25" s="230"/>
      <c r="F25" s="230"/>
      <c r="G25" s="230"/>
      <c r="H25" s="230"/>
    </row>
    <row r="26" spans="2:18" ht="15.75" customHeight="1" x14ac:dyDescent="0.3">
      <c r="B26" s="29" t="s">
        <v>402</v>
      </c>
      <c r="C26" s="29" t="s">
        <v>86</v>
      </c>
      <c r="D26" s="29" t="s">
        <v>87</v>
      </c>
      <c r="E26" s="29" t="s">
        <v>88</v>
      </c>
      <c r="F26" s="29" t="s">
        <v>89</v>
      </c>
      <c r="G26" s="29" t="s">
        <v>90</v>
      </c>
    </row>
    <row r="27" spans="2:18" ht="15.75" customHeight="1" x14ac:dyDescent="0.3">
      <c r="B27" s="30" t="s">
        <v>19</v>
      </c>
      <c r="C27" s="135">
        <v>17</v>
      </c>
      <c r="D27" s="136">
        <v>4</v>
      </c>
      <c r="E27" s="136">
        <v>4</v>
      </c>
      <c r="F27" s="136">
        <v>4</v>
      </c>
      <c r="G27" s="136">
        <v>5</v>
      </c>
    </row>
    <row r="28" spans="2:18" ht="15.75" customHeight="1" x14ac:dyDescent="0.3">
      <c r="B28" s="30" t="s">
        <v>751</v>
      </c>
      <c r="C28" s="135">
        <v>356</v>
      </c>
      <c r="D28" s="136">
        <f>C28/17*4</f>
        <v>83.764705882352942</v>
      </c>
      <c r="E28" s="136">
        <f>C28/17*4</f>
        <v>83.764705882352942</v>
      </c>
      <c r="F28" s="136">
        <f>C28/17*4</f>
        <v>83.764705882352942</v>
      </c>
      <c r="G28" s="136">
        <f>C28/17*5</f>
        <v>104.70588235294117</v>
      </c>
    </row>
    <row r="29" spans="2:18" ht="15.75" customHeight="1" x14ac:dyDescent="0.3"/>
    <row r="30" spans="2:18" ht="21.75" customHeight="1" x14ac:dyDescent="0.3">
      <c r="B30" s="195" t="s">
        <v>393</v>
      </c>
      <c r="C30" s="195"/>
      <c r="D30" s="195"/>
      <c r="E30" s="195"/>
      <c r="F30" s="195"/>
      <c r="G30" s="195"/>
      <c r="H30" s="195"/>
      <c r="I30" s="195"/>
      <c r="J30" s="195"/>
      <c r="K30" s="195"/>
    </row>
    <row r="31" spans="2:18" ht="27.75" customHeight="1" x14ac:dyDescent="0.3">
      <c r="B31" s="232" t="s">
        <v>557</v>
      </c>
      <c r="C31" s="232"/>
      <c r="D31" s="232"/>
      <c r="E31" s="232"/>
      <c r="F31" s="232"/>
      <c r="G31" s="232"/>
      <c r="H31" s="232"/>
      <c r="I31" s="232"/>
      <c r="J31" s="232"/>
      <c r="K31" s="232"/>
    </row>
    <row r="32" spans="2:18" ht="27.75" customHeight="1" x14ac:dyDescent="0.3">
      <c r="B32" s="232" t="s">
        <v>558</v>
      </c>
      <c r="C32" s="232"/>
      <c r="D32" s="232"/>
      <c r="E32" s="232"/>
      <c r="F32" s="232"/>
      <c r="G32" s="232"/>
      <c r="H32" s="232"/>
      <c r="I32" s="232"/>
      <c r="J32" s="232"/>
      <c r="K32" s="232"/>
    </row>
    <row r="33" spans="2:11" ht="27.75" customHeight="1" x14ac:dyDescent="0.3">
      <c r="B33" s="232" t="s">
        <v>559</v>
      </c>
      <c r="C33" s="232"/>
      <c r="D33" s="232"/>
      <c r="E33" s="232"/>
      <c r="F33" s="232"/>
      <c r="G33" s="232"/>
      <c r="H33" s="232"/>
      <c r="I33" s="232"/>
      <c r="J33" s="232"/>
      <c r="K33" s="232"/>
    </row>
    <row r="34" spans="2:11" ht="27.75" customHeight="1" x14ac:dyDescent="0.3">
      <c r="B34" s="232" t="s">
        <v>560</v>
      </c>
      <c r="C34" s="232"/>
      <c r="D34" s="232"/>
      <c r="E34" s="232"/>
      <c r="F34" s="232"/>
      <c r="G34" s="232"/>
      <c r="H34" s="232"/>
      <c r="I34" s="232"/>
      <c r="J34" s="232"/>
      <c r="K34" s="232"/>
    </row>
    <row r="35" spans="2:11" ht="27.75" customHeight="1" x14ac:dyDescent="0.3">
      <c r="B35" s="232" t="s">
        <v>561</v>
      </c>
      <c r="C35" s="232"/>
      <c r="D35" s="232"/>
      <c r="E35" s="232"/>
      <c r="F35" s="232"/>
      <c r="G35" s="232"/>
      <c r="H35" s="232"/>
      <c r="I35" s="232"/>
      <c r="J35" s="232"/>
      <c r="K35" s="232"/>
    </row>
    <row r="36" spans="2:11" ht="27.75" customHeight="1" x14ac:dyDescent="0.3">
      <c r="B36" s="232" t="s">
        <v>562</v>
      </c>
      <c r="C36" s="232"/>
      <c r="D36" s="232"/>
      <c r="E36" s="232"/>
      <c r="F36" s="232"/>
      <c r="G36" s="232"/>
      <c r="H36" s="232"/>
      <c r="I36" s="232"/>
      <c r="J36" s="232"/>
      <c r="K36" s="232"/>
    </row>
    <row r="37" spans="2:11" ht="27.75" customHeight="1" x14ac:dyDescent="0.3">
      <c r="B37" s="232" t="s">
        <v>563</v>
      </c>
      <c r="C37" s="232"/>
      <c r="D37" s="232"/>
      <c r="E37" s="232"/>
      <c r="F37" s="232"/>
      <c r="G37" s="232"/>
      <c r="H37" s="232"/>
      <c r="I37" s="232"/>
      <c r="J37" s="232"/>
      <c r="K37" s="232"/>
    </row>
    <row r="38" spans="2:11" ht="27.75" customHeight="1" x14ac:dyDescent="0.3">
      <c r="B38" s="232" t="s">
        <v>564</v>
      </c>
      <c r="C38" s="232"/>
      <c r="D38" s="232"/>
      <c r="E38" s="232"/>
      <c r="F38" s="232"/>
      <c r="G38" s="232"/>
      <c r="H38" s="232"/>
      <c r="I38" s="232"/>
      <c r="J38" s="232"/>
      <c r="K38" s="232"/>
    </row>
    <row r="39" spans="2:11" ht="15.75" customHeight="1" x14ac:dyDescent="0.3"/>
    <row r="40" spans="2:11" ht="19.5" customHeight="1" x14ac:dyDescent="0.3">
      <c r="B40" s="230" t="s">
        <v>401</v>
      </c>
      <c r="C40" s="230"/>
      <c r="D40" s="230"/>
      <c r="E40" s="230"/>
      <c r="F40" s="230"/>
      <c r="G40" s="230"/>
      <c r="H40" s="230"/>
    </row>
    <row r="41" spans="2:11" ht="15.75" customHeight="1" x14ac:dyDescent="0.3">
      <c r="B41" s="29" t="s">
        <v>402</v>
      </c>
      <c r="C41" s="29" t="s">
        <v>86</v>
      </c>
      <c r="D41" s="29" t="s">
        <v>87</v>
      </c>
      <c r="E41" s="29" t="s">
        <v>88</v>
      </c>
      <c r="F41" s="29" t="s">
        <v>89</v>
      </c>
      <c r="G41" s="29" t="s">
        <v>90</v>
      </c>
    </row>
    <row r="42" spans="2:11" ht="15.75" customHeight="1" x14ac:dyDescent="0.3">
      <c r="B42" s="30" t="s">
        <v>403</v>
      </c>
      <c r="C42" s="135">
        <v>10</v>
      </c>
      <c r="D42" s="136">
        <v>2</v>
      </c>
      <c r="E42" s="136">
        <v>3</v>
      </c>
      <c r="F42" s="136">
        <v>2</v>
      </c>
      <c r="G42" s="136">
        <v>3</v>
      </c>
    </row>
    <row r="43" spans="2:11" ht="15.75" customHeight="1" x14ac:dyDescent="0.3">
      <c r="B43" s="191" t="s">
        <v>565</v>
      </c>
      <c r="C43" s="191"/>
      <c r="D43" s="191"/>
      <c r="E43" s="191"/>
      <c r="F43" s="191"/>
      <c r="G43" s="191"/>
      <c r="H43" s="191"/>
    </row>
    <row r="44" spans="2:11" ht="15.75" customHeight="1" x14ac:dyDescent="0.3">
      <c r="B44" s="191"/>
      <c r="C44" s="191"/>
      <c r="D44" s="191"/>
      <c r="E44" s="191"/>
      <c r="F44" s="191"/>
      <c r="G44" s="191"/>
      <c r="H44" s="191"/>
    </row>
    <row r="45" spans="2:11" ht="15.75" customHeight="1" x14ac:dyDescent="0.3"/>
    <row r="46" spans="2:11" ht="15.75" customHeight="1" x14ac:dyDescent="0.3"/>
    <row r="47" spans="2:11" ht="15.75" customHeight="1" x14ac:dyDescent="0.3"/>
    <row r="48" spans="2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28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M13:R20"/>
    <mergeCell ref="B30:K30"/>
    <mergeCell ref="B31:K31"/>
    <mergeCell ref="B32:K32"/>
    <mergeCell ref="B33:K33"/>
    <mergeCell ref="B25:H25"/>
    <mergeCell ref="B40:H40"/>
    <mergeCell ref="B43:H44"/>
    <mergeCell ref="B34:K34"/>
    <mergeCell ref="B35:K35"/>
    <mergeCell ref="B36:K36"/>
    <mergeCell ref="B37:K37"/>
    <mergeCell ref="B38:K38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L1000"/>
  <sheetViews>
    <sheetView showGridLines="0" topLeftCell="A6" zoomScaleNormal="100" workbookViewId="0">
      <selection activeCell="B25" sqref="B25"/>
    </sheetView>
  </sheetViews>
  <sheetFormatPr defaultColWidth="14.44140625" defaultRowHeight="14.4" x14ac:dyDescent="0.3"/>
  <cols>
    <col min="1" max="1" width="2" customWidth="1"/>
    <col min="2" max="2" width="28" customWidth="1"/>
    <col min="3" max="9" width="13" customWidth="1"/>
    <col min="10" max="10" width="30" customWidth="1"/>
    <col min="11" max="11" width="2" customWidth="1"/>
    <col min="12" max="26" width="8.6640625" customWidth="1"/>
  </cols>
  <sheetData>
    <row r="1" spans="2:12" ht="15" customHeight="1" x14ac:dyDescent="0.3"/>
    <row r="2" spans="2:12" ht="31.5" customHeight="1" x14ac:dyDescent="0.3">
      <c r="B2" s="209" t="s">
        <v>566</v>
      </c>
      <c r="C2" s="209"/>
      <c r="D2" s="209"/>
      <c r="E2" s="209"/>
      <c r="F2" s="209"/>
      <c r="G2" s="209"/>
      <c r="H2" s="209"/>
      <c r="I2" s="209"/>
      <c r="J2" s="209"/>
    </row>
    <row r="3" spans="2:12" ht="15" customHeight="1" x14ac:dyDescent="0.3"/>
    <row r="4" spans="2:12" ht="49.5" customHeight="1" x14ac:dyDescent="0.3">
      <c r="B4" s="207" t="s">
        <v>567</v>
      </c>
      <c r="C4" s="207"/>
      <c r="D4" s="207"/>
      <c r="E4" s="207"/>
      <c r="F4" s="207"/>
      <c r="G4" s="207"/>
      <c r="H4" s="207"/>
      <c r="I4" s="207"/>
      <c r="J4" s="207"/>
    </row>
    <row r="5" spans="2:12" ht="15" customHeight="1" x14ac:dyDescent="0.3"/>
    <row r="6" spans="2:12" ht="18" customHeight="1" x14ac:dyDescent="0.3">
      <c r="B6" s="240" t="s">
        <v>354</v>
      </c>
      <c r="C6" s="240"/>
      <c r="E6" s="240" t="s">
        <v>568</v>
      </c>
      <c r="F6" s="240"/>
      <c r="H6" s="240"/>
      <c r="I6" s="240"/>
      <c r="K6" s="240" t="s">
        <v>17</v>
      </c>
      <c r="L6" s="240"/>
    </row>
    <row r="7" spans="2:12" ht="31.5" customHeight="1" x14ac:dyDescent="0.3">
      <c r="B7" s="241" t="s">
        <v>309</v>
      </c>
      <c r="C7" s="241"/>
      <c r="E7" s="241" t="s">
        <v>309</v>
      </c>
      <c r="F7" s="241"/>
      <c r="H7" s="241"/>
      <c r="I7" s="241"/>
      <c r="K7" s="241" t="s">
        <v>309</v>
      </c>
      <c r="L7" s="241"/>
    </row>
    <row r="8" spans="2:12" ht="27.75" customHeight="1" x14ac:dyDescent="0.3">
      <c r="B8" s="239" t="s">
        <v>569</v>
      </c>
      <c r="C8" s="239"/>
      <c r="E8" s="239" t="s">
        <v>570</v>
      </c>
      <c r="F8" s="239"/>
      <c r="H8" s="239" t="s">
        <v>423</v>
      </c>
      <c r="I8" s="239"/>
      <c r="K8" s="239" t="s">
        <v>423</v>
      </c>
      <c r="L8" s="239"/>
    </row>
    <row r="9" spans="2:12" ht="15" customHeight="1" x14ac:dyDescent="0.3"/>
    <row r="10" spans="2:12" ht="15" customHeight="1" x14ac:dyDescent="0.3"/>
    <row r="11" spans="2:12" ht="21.75" customHeight="1" x14ac:dyDescent="0.3">
      <c r="B11" s="195" t="s">
        <v>571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2" ht="49.5" customHeight="1" x14ac:dyDescent="0.3">
      <c r="B12" s="243" t="s">
        <v>572</v>
      </c>
      <c r="C12" s="243"/>
      <c r="D12" s="243"/>
      <c r="E12" s="243"/>
      <c r="F12" s="243"/>
      <c r="G12" s="243"/>
      <c r="H12" s="243"/>
      <c r="I12" s="243"/>
      <c r="J12" s="243"/>
    </row>
    <row r="13" spans="2:12" ht="15" customHeight="1" x14ac:dyDescent="0.3"/>
    <row r="14" spans="2:12" ht="21.75" customHeight="1" x14ac:dyDescent="0.3">
      <c r="B14" s="195" t="s">
        <v>393</v>
      </c>
      <c r="C14" s="195"/>
      <c r="D14" s="195"/>
      <c r="E14" s="195"/>
      <c r="F14" s="195"/>
      <c r="G14" s="195"/>
      <c r="H14" s="195"/>
      <c r="I14" s="195"/>
      <c r="J14" s="195"/>
      <c r="K14" s="195"/>
    </row>
    <row r="15" spans="2:12" ht="27.75" customHeight="1" x14ac:dyDescent="0.3">
      <c r="B15" s="232" t="s">
        <v>573</v>
      </c>
      <c r="C15" s="232"/>
      <c r="D15" s="232"/>
      <c r="E15" s="232"/>
      <c r="F15" s="232"/>
      <c r="G15" s="232"/>
      <c r="H15" s="232"/>
      <c r="I15" s="232"/>
      <c r="J15" s="232"/>
      <c r="K15" s="232"/>
    </row>
    <row r="16" spans="2:12" ht="27.75" customHeight="1" x14ac:dyDescent="0.3">
      <c r="B16" s="232" t="s">
        <v>574</v>
      </c>
      <c r="C16" s="232"/>
      <c r="D16" s="232"/>
      <c r="E16" s="232"/>
      <c r="F16" s="232"/>
      <c r="G16" s="232"/>
      <c r="H16" s="232"/>
      <c r="I16" s="232"/>
      <c r="J16" s="232"/>
      <c r="K16" s="232"/>
    </row>
    <row r="17" spans="2:11" ht="27.75" customHeight="1" x14ac:dyDescent="0.3">
      <c r="B17" s="232" t="s">
        <v>575</v>
      </c>
      <c r="C17" s="232"/>
      <c r="D17" s="232"/>
      <c r="E17" s="232"/>
      <c r="F17" s="232"/>
      <c r="G17" s="232"/>
      <c r="H17" s="232"/>
      <c r="I17" s="232"/>
      <c r="J17" s="232"/>
      <c r="K17" s="232"/>
    </row>
    <row r="18" spans="2:11" ht="27.75" customHeight="1" x14ac:dyDescent="0.3">
      <c r="B18" s="232" t="s">
        <v>576</v>
      </c>
      <c r="C18" s="232"/>
      <c r="D18" s="232"/>
      <c r="E18" s="232"/>
      <c r="F18" s="232"/>
      <c r="G18" s="232"/>
      <c r="H18" s="232"/>
      <c r="I18" s="232"/>
      <c r="J18" s="232"/>
      <c r="K18" s="232"/>
    </row>
    <row r="19" spans="2:11" ht="15" customHeight="1" x14ac:dyDescent="0.3"/>
    <row r="20" spans="2:11" ht="15" customHeight="1" x14ac:dyDescent="0.3"/>
    <row r="21" spans="2:11" ht="15.75" customHeight="1" x14ac:dyDescent="0.3"/>
    <row r="22" spans="2:11" ht="15.75" customHeight="1" x14ac:dyDescent="0.3"/>
    <row r="23" spans="2:11" ht="15.75" customHeight="1" x14ac:dyDescent="0.3"/>
    <row r="24" spans="2:11" ht="15.75" customHeight="1" x14ac:dyDescent="0.3"/>
    <row r="25" spans="2:11" ht="15.75" customHeight="1" x14ac:dyDescent="0.3"/>
    <row r="26" spans="2:11" ht="15.75" customHeight="1" x14ac:dyDescent="0.3"/>
    <row r="27" spans="2:11" ht="15.75" customHeight="1" x14ac:dyDescent="0.3"/>
    <row r="28" spans="2:11" ht="15.75" customHeight="1" x14ac:dyDescent="0.3"/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B18:K18"/>
    <mergeCell ref="B12:J12"/>
    <mergeCell ref="B14:K14"/>
    <mergeCell ref="B15:K15"/>
    <mergeCell ref="B16:K16"/>
    <mergeCell ref="B17:K17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R1006"/>
  <sheetViews>
    <sheetView showGridLines="0" topLeftCell="A9" zoomScaleNormal="100" workbookViewId="0">
      <selection activeCell="H26" sqref="H26"/>
    </sheetView>
  </sheetViews>
  <sheetFormatPr defaultColWidth="14.44140625" defaultRowHeight="14.4" x14ac:dyDescent="0.3"/>
  <cols>
    <col min="1" max="1" width="2" customWidth="1"/>
    <col min="2" max="2" width="28" customWidth="1"/>
    <col min="3" max="3" width="13" customWidth="1"/>
    <col min="4" max="9" width="8.6640625" customWidth="1"/>
    <col min="10" max="10" width="30" customWidth="1"/>
    <col min="11" max="11" width="2" customWidth="1"/>
    <col min="12" max="26" width="8.6640625" customWidth="1"/>
  </cols>
  <sheetData>
    <row r="1" spans="2:18" ht="15" customHeight="1" x14ac:dyDescent="0.3"/>
    <row r="2" spans="2:18" ht="31.5" customHeight="1" x14ac:dyDescent="0.3">
      <c r="B2" s="209" t="s">
        <v>577</v>
      </c>
      <c r="C2" s="209"/>
      <c r="D2" s="209"/>
      <c r="E2" s="209"/>
      <c r="F2" s="209"/>
      <c r="G2" s="209"/>
      <c r="H2" s="209"/>
      <c r="I2" s="209"/>
      <c r="J2" s="209"/>
    </row>
    <row r="3" spans="2:18" ht="15" customHeight="1" x14ac:dyDescent="0.3"/>
    <row r="4" spans="2:18" ht="39.75" customHeight="1" x14ac:dyDescent="0.3">
      <c r="B4" s="207" t="s">
        <v>578</v>
      </c>
      <c r="C4" s="207"/>
      <c r="D4" s="207"/>
      <c r="E4" s="207"/>
      <c r="F4" s="207"/>
      <c r="G4" s="207"/>
      <c r="H4" s="207"/>
      <c r="I4" s="207"/>
      <c r="J4" s="207"/>
    </row>
    <row r="5" spans="2:18" ht="15" customHeight="1" x14ac:dyDescent="0.3"/>
    <row r="6" spans="2:18" ht="18" customHeight="1" x14ac:dyDescent="0.3">
      <c r="B6" s="234" t="s">
        <v>354</v>
      </c>
      <c r="C6" s="234"/>
      <c r="E6" s="234" t="s">
        <v>355</v>
      </c>
      <c r="F6" s="234"/>
      <c r="H6" s="234" t="s">
        <v>733</v>
      </c>
      <c r="I6" s="234"/>
      <c r="K6" s="234" t="s">
        <v>356</v>
      </c>
      <c r="L6" s="234"/>
    </row>
    <row r="7" spans="2:18" ht="31.5" customHeight="1" x14ac:dyDescent="0.3">
      <c r="B7" s="235" t="s">
        <v>579</v>
      </c>
      <c r="C7" s="235"/>
      <c r="E7" s="235" t="s">
        <v>580</v>
      </c>
      <c r="F7" s="235"/>
      <c r="H7" s="235">
        <v>518</v>
      </c>
      <c r="I7" s="235"/>
      <c r="K7" s="235" t="s">
        <v>581</v>
      </c>
      <c r="L7" s="235"/>
    </row>
    <row r="8" spans="2:18" ht="27.75" customHeight="1" x14ac:dyDescent="0.3">
      <c r="B8" s="233" t="s">
        <v>359</v>
      </c>
      <c r="C8" s="233"/>
      <c r="E8" s="233" t="s">
        <v>359</v>
      </c>
      <c r="F8" s="233"/>
      <c r="H8" s="233" t="s">
        <v>361</v>
      </c>
      <c r="I8" s="233"/>
      <c r="K8" s="233" t="s">
        <v>582</v>
      </c>
      <c r="L8" s="233"/>
    </row>
    <row r="9" spans="2:18" ht="15" customHeight="1" x14ac:dyDescent="0.3"/>
    <row r="10" spans="2:18" ht="15" customHeight="1" x14ac:dyDescent="0.3"/>
    <row r="11" spans="2:18" ht="21.75" customHeight="1" x14ac:dyDescent="0.3">
      <c r="B11" s="195" t="s">
        <v>412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8" ht="30" customHeight="1" x14ac:dyDescent="0.3">
      <c r="B12" s="29" t="s">
        <v>364</v>
      </c>
      <c r="C12" s="29" t="s">
        <v>365</v>
      </c>
      <c r="D12" s="29" t="s">
        <v>366</v>
      </c>
      <c r="E12" s="29" t="s">
        <v>730</v>
      </c>
      <c r="F12" s="29" t="s">
        <v>732</v>
      </c>
      <c r="G12" s="29" t="s">
        <v>367</v>
      </c>
      <c r="H12" s="29" t="s">
        <v>368</v>
      </c>
      <c r="I12" s="29" t="s">
        <v>369</v>
      </c>
      <c r="J12" s="29" t="s">
        <v>18</v>
      </c>
      <c r="M12" s="229"/>
      <c r="N12" s="229"/>
      <c r="O12" s="229"/>
      <c r="P12" s="229"/>
      <c r="Q12" s="229"/>
      <c r="R12" s="229"/>
    </row>
    <row r="13" spans="2:18" ht="24" customHeight="1" x14ac:dyDescent="0.3">
      <c r="B13" s="127" t="s">
        <v>300</v>
      </c>
      <c r="C13" s="128">
        <v>2</v>
      </c>
      <c r="D13" s="128">
        <v>6</v>
      </c>
      <c r="E13" s="129">
        <v>14</v>
      </c>
      <c r="F13" s="130">
        <f>E13*D13</f>
        <v>84</v>
      </c>
      <c r="G13" s="54">
        <v>2</v>
      </c>
      <c r="H13" s="54">
        <v>12</v>
      </c>
      <c r="I13" s="54">
        <v>2</v>
      </c>
      <c r="J13" s="127" t="s">
        <v>583</v>
      </c>
      <c r="M13" s="229"/>
      <c r="N13" s="229"/>
      <c r="O13" s="229"/>
      <c r="P13" s="229"/>
      <c r="Q13" s="229"/>
      <c r="R13" s="229"/>
    </row>
    <row r="14" spans="2:18" ht="24" customHeight="1" x14ac:dyDescent="0.3">
      <c r="B14" s="127" t="s">
        <v>304</v>
      </c>
      <c r="C14" s="128">
        <v>0</v>
      </c>
      <c r="D14" s="128">
        <v>5</v>
      </c>
      <c r="E14" s="129">
        <v>26</v>
      </c>
      <c r="F14" s="130">
        <f t="shared" ref="F14:F19" si="0">E14*D14</f>
        <v>130</v>
      </c>
      <c r="G14" s="54">
        <v>2</v>
      </c>
      <c r="H14" s="54">
        <v>10</v>
      </c>
      <c r="I14" s="54">
        <v>3</v>
      </c>
      <c r="J14" s="127" t="s">
        <v>584</v>
      </c>
      <c r="M14" s="229"/>
      <c r="N14" s="229"/>
      <c r="O14" s="229"/>
      <c r="P14" s="229"/>
      <c r="Q14" s="229"/>
      <c r="R14" s="229"/>
    </row>
    <row r="15" spans="2:18" ht="24" customHeight="1" x14ac:dyDescent="0.3">
      <c r="B15" s="127" t="s">
        <v>372</v>
      </c>
      <c r="C15" s="128">
        <v>4</v>
      </c>
      <c r="D15" s="128">
        <v>5</v>
      </c>
      <c r="E15" s="129">
        <v>14</v>
      </c>
      <c r="F15" s="130">
        <f t="shared" si="0"/>
        <v>70</v>
      </c>
      <c r="G15" s="54">
        <v>2</v>
      </c>
      <c r="H15" s="54">
        <v>10</v>
      </c>
      <c r="I15" s="54">
        <v>1</v>
      </c>
      <c r="J15" s="127" t="s">
        <v>585</v>
      </c>
      <c r="M15" s="229"/>
      <c r="N15" s="229"/>
      <c r="O15" s="229"/>
      <c r="P15" s="229"/>
      <c r="Q15" s="229"/>
      <c r="R15" s="229"/>
    </row>
    <row r="16" spans="2:18" ht="24" customHeight="1" x14ac:dyDescent="0.3">
      <c r="B16" s="127" t="s">
        <v>371</v>
      </c>
      <c r="C16" s="128">
        <v>1</v>
      </c>
      <c r="D16" s="128">
        <v>4</v>
      </c>
      <c r="E16" s="129">
        <v>39</v>
      </c>
      <c r="F16" s="130">
        <f t="shared" si="0"/>
        <v>156</v>
      </c>
      <c r="G16" s="54">
        <v>2</v>
      </c>
      <c r="H16" s="54">
        <v>8</v>
      </c>
      <c r="I16" s="54">
        <v>1</v>
      </c>
      <c r="J16" s="127" t="s">
        <v>586</v>
      </c>
      <c r="M16" s="229"/>
      <c r="N16" s="229"/>
      <c r="O16" s="229"/>
      <c r="P16" s="229"/>
      <c r="Q16" s="229"/>
      <c r="R16" s="229"/>
    </row>
    <row r="17" spans="2:18" ht="24" customHeight="1" x14ac:dyDescent="0.3">
      <c r="B17" s="127" t="s">
        <v>375</v>
      </c>
      <c r="C17" s="128">
        <v>0</v>
      </c>
      <c r="D17" s="128">
        <v>1</v>
      </c>
      <c r="E17" s="129">
        <v>14</v>
      </c>
      <c r="F17" s="130">
        <f t="shared" si="0"/>
        <v>14</v>
      </c>
      <c r="G17" s="54">
        <v>3</v>
      </c>
      <c r="H17" s="54">
        <v>3</v>
      </c>
      <c r="I17" s="54">
        <v>1</v>
      </c>
      <c r="J17" s="127" t="s">
        <v>585</v>
      </c>
      <c r="M17" s="229"/>
      <c r="N17" s="229"/>
      <c r="O17" s="229"/>
      <c r="P17" s="229"/>
      <c r="Q17" s="229"/>
      <c r="R17" s="229"/>
    </row>
    <row r="18" spans="2:18" ht="24" customHeight="1" x14ac:dyDescent="0.3">
      <c r="B18" s="127" t="s">
        <v>297</v>
      </c>
      <c r="C18" s="128">
        <v>0</v>
      </c>
      <c r="D18" s="128">
        <v>1</v>
      </c>
      <c r="E18" s="129">
        <v>6</v>
      </c>
      <c r="F18" s="130">
        <f t="shared" si="0"/>
        <v>6</v>
      </c>
      <c r="G18" s="54">
        <v>3</v>
      </c>
      <c r="H18" s="54">
        <v>3</v>
      </c>
      <c r="I18" s="54">
        <v>3</v>
      </c>
      <c r="J18" s="127" t="s">
        <v>585</v>
      </c>
      <c r="M18" s="229"/>
      <c r="N18" s="229"/>
      <c r="O18" s="229"/>
      <c r="P18" s="229"/>
      <c r="Q18" s="229"/>
      <c r="R18" s="229"/>
    </row>
    <row r="19" spans="2:18" ht="24" customHeight="1" x14ac:dyDescent="0.3">
      <c r="B19" s="127" t="s">
        <v>306</v>
      </c>
      <c r="C19" s="128">
        <v>0</v>
      </c>
      <c r="D19" s="128">
        <v>1</v>
      </c>
      <c r="E19" s="129">
        <v>58</v>
      </c>
      <c r="F19" s="130">
        <f t="shared" si="0"/>
        <v>58</v>
      </c>
      <c r="G19" s="54" t="s">
        <v>377</v>
      </c>
      <c r="H19" s="54">
        <v>0</v>
      </c>
      <c r="I19" s="54" t="s">
        <v>378</v>
      </c>
      <c r="J19" s="127" t="s">
        <v>556</v>
      </c>
      <c r="M19" s="229"/>
      <c r="N19" s="229"/>
      <c r="O19" s="229"/>
      <c r="P19" s="229"/>
      <c r="Q19" s="229"/>
      <c r="R19" s="229"/>
    </row>
    <row r="20" spans="2:18" ht="24" customHeight="1" x14ac:dyDescent="0.3">
      <c r="B20" s="127" t="s">
        <v>17</v>
      </c>
      <c r="C20" s="128">
        <v>1</v>
      </c>
      <c r="D20" s="128">
        <v>10</v>
      </c>
      <c r="E20" s="129"/>
      <c r="F20" s="130"/>
      <c r="G20" s="54"/>
      <c r="H20" s="54"/>
      <c r="I20" s="54">
        <v>5</v>
      </c>
      <c r="J20" s="127"/>
      <c r="M20" s="156"/>
      <c r="N20" s="156"/>
      <c r="O20" s="156"/>
      <c r="P20" s="156"/>
      <c r="Q20" s="156"/>
      <c r="R20" s="156"/>
    </row>
    <row r="21" spans="2:18" ht="21.75" customHeight="1" x14ac:dyDescent="0.3">
      <c r="B21" s="131" t="s">
        <v>381</v>
      </c>
      <c r="C21" s="132">
        <v>8</v>
      </c>
      <c r="D21" s="132">
        <v>23</v>
      </c>
      <c r="E21" s="132"/>
      <c r="F21" s="133">
        <f>SUM(F13:F19)</f>
        <v>518</v>
      </c>
      <c r="G21" s="132"/>
      <c r="H21" s="132">
        <v>46</v>
      </c>
      <c r="I21" s="132"/>
      <c r="J21" s="132"/>
    </row>
    <row r="22" spans="2:18" ht="15.75" customHeight="1" x14ac:dyDescent="0.3"/>
    <row r="23" spans="2:18" ht="15.75" customHeight="1" x14ac:dyDescent="0.3">
      <c r="B23" s="230" t="s">
        <v>750</v>
      </c>
      <c r="C23" s="230"/>
      <c r="D23" s="230"/>
      <c r="E23" s="230"/>
      <c r="F23" s="230"/>
      <c r="G23" s="230"/>
      <c r="H23" s="230"/>
    </row>
    <row r="24" spans="2:18" ht="15.75" customHeight="1" x14ac:dyDescent="0.3">
      <c r="B24" s="29" t="s">
        <v>402</v>
      </c>
      <c r="C24" s="29" t="s">
        <v>86</v>
      </c>
      <c r="D24" s="29" t="s">
        <v>87</v>
      </c>
      <c r="E24" s="29" t="s">
        <v>88</v>
      </c>
      <c r="F24" s="29" t="s">
        <v>89</v>
      </c>
      <c r="G24" s="29" t="s">
        <v>90</v>
      </c>
    </row>
    <row r="25" spans="2:18" ht="15.75" customHeight="1" x14ac:dyDescent="0.3">
      <c r="B25" s="30" t="s">
        <v>19</v>
      </c>
      <c r="C25" s="135">
        <v>23</v>
      </c>
      <c r="D25" s="136">
        <v>5</v>
      </c>
      <c r="E25" s="136">
        <v>6</v>
      </c>
      <c r="F25" s="136">
        <v>6</v>
      </c>
      <c r="G25" s="136">
        <v>6</v>
      </c>
    </row>
    <row r="26" spans="2:18" ht="15.75" customHeight="1" x14ac:dyDescent="0.3">
      <c r="B26" s="30" t="s">
        <v>751</v>
      </c>
      <c r="C26" s="135">
        <v>518</v>
      </c>
      <c r="D26" s="136">
        <f>C26/23*5</f>
        <v>112.60869565217391</v>
      </c>
      <c r="E26" s="136">
        <f>C26/23*6</f>
        <v>135.13043478260869</v>
      </c>
      <c r="F26" s="136">
        <f>C26/23*6</f>
        <v>135.13043478260869</v>
      </c>
      <c r="G26" s="136">
        <f>C26/23*6</f>
        <v>135.13043478260869</v>
      </c>
    </row>
    <row r="27" spans="2:18" ht="15.75" customHeight="1" x14ac:dyDescent="0.3">
      <c r="B27" s="159"/>
      <c r="C27" s="160"/>
      <c r="D27" s="161"/>
      <c r="E27" s="161"/>
      <c r="F27" s="161"/>
      <c r="G27" s="161"/>
    </row>
    <row r="28" spans="2:18" ht="21.75" customHeight="1" x14ac:dyDescent="0.3">
      <c r="B28" s="195" t="s">
        <v>587</v>
      </c>
      <c r="C28" s="195"/>
      <c r="D28" s="195"/>
      <c r="E28" s="195"/>
      <c r="F28" s="195"/>
      <c r="G28" s="195"/>
      <c r="H28" s="195"/>
      <c r="I28" s="195"/>
      <c r="J28" s="195"/>
      <c r="K28" s="195"/>
    </row>
    <row r="29" spans="2:18" ht="30" customHeight="1" x14ac:dyDescent="0.3">
      <c r="B29" s="29" t="s">
        <v>364</v>
      </c>
      <c r="C29" s="29" t="s">
        <v>588</v>
      </c>
      <c r="D29" s="29" t="s">
        <v>589</v>
      </c>
      <c r="E29" s="29" t="s">
        <v>309</v>
      </c>
    </row>
    <row r="30" spans="2:18" ht="42.75" customHeight="1" x14ac:dyDescent="0.3">
      <c r="B30" s="139" t="s">
        <v>300</v>
      </c>
      <c r="C30" s="140">
        <v>12</v>
      </c>
      <c r="D30" s="140" t="s">
        <v>590</v>
      </c>
      <c r="E30" s="139" t="s">
        <v>591</v>
      </c>
    </row>
    <row r="31" spans="2:18" ht="21.75" customHeight="1" x14ac:dyDescent="0.3">
      <c r="B31" s="139" t="s">
        <v>304</v>
      </c>
      <c r="C31" s="140">
        <v>10</v>
      </c>
      <c r="D31" s="140" t="s">
        <v>590</v>
      </c>
      <c r="E31" s="139" t="s">
        <v>592</v>
      </c>
    </row>
    <row r="32" spans="2:18" ht="21.75" customHeight="1" x14ac:dyDescent="0.3">
      <c r="B32" s="139" t="s">
        <v>17</v>
      </c>
      <c r="C32" s="140" t="s">
        <v>423</v>
      </c>
      <c r="D32" s="140" t="s">
        <v>590</v>
      </c>
      <c r="E32" s="139" t="s">
        <v>593</v>
      </c>
    </row>
    <row r="33" spans="2:11" ht="21.75" customHeight="1" x14ac:dyDescent="0.3">
      <c r="B33" s="141" t="s">
        <v>371</v>
      </c>
      <c r="C33" s="142">
        <v>8</v>
      </c>
      <c r="D33" s="142" t="s">
        <v>67</v>
      </c>
      <c r="E33" s="141" t="s">
        <v>594</v>
      </c>
    </row>
    <row r="34" spans="2:11" ht="32.25" customHeight="1" x14ac:dyDescent="0.3">
      <c r="B34" s="141" t="s">
        <v>372</v>
      </c>
      <c r="C34" s="142">
        <v>10</v>
      </c>
      <c r="D34" s="142" t="s">
        <v>67</v>
      </c>
      <c r="E34" s="141" t="s">
        <v>595</v>
      </c>
    </row>
    <row r="35" spans="2:11" ht="21.75" customHeight="1" x14ac:dyDescent="0.3">
      <c r="B35" s="141" t="s">
        <v>375</v>
      </c>
      <c r="C35" s="142">
        <v>3</v>
      </c>
      <c r="D35" s="142" t="s">
        <v>67</v>
      </c>
      <c r="E35" s="141" t="s">
        <v>594</v>
      </c>
    </row>
    <row r="36" spans="2:11" ht="21.75" customHeight="1" x14ac:dyDescent="0.3">
      <c r="B36" s="141" t="s">
        <v>297</v>
      </c>
      <c r="C36" s="142">
        <v>3</v>
      </c>
      <c r="D36" s="142" t="s">
        <v>67</v>
      </c>
      <c r="E36" s="141" t="s">
        <v>594</v>
      </c>
    </row>
    <row r="37" spans="2:11" ht="21.75" customHeight="1" x14ac:dyDescent="0.3">
      <c r="B37" s="127" t="s">
        <v>306</v>
      </c>
      <c r="C37" s="54">
        <v>0</v>
      </c>
      <c r="D37" s="54" t="s">
        <v>596</v>
      </c>
      <c r="E37" s="127" t="s">
        <v>597</v>
      </c>
    </row>
    <row r="38" spans="2:11" ht="21.75" customHeight="1" x14ac:dyDescent="0.3">
      <c r="B38" s="131" t="s">
        <v>598</v>
      </c>
      <c r="C38" s="132"/>
      <c r="D38" s="132"/>
      <c r="E38" s="132"/>
    </row>
    <row r="39" spans="2:11" ht="15.75" customHeight="1" x14ac:dyDescent="0.3"/>
    <row r="40" spans="2:11" ht="21.75" customHeight="1" x14ac:dyDescent="0.3">
      <c r="B40" s="195" t="s">
        <v>393</v>
      </c>
      <c r="C40" s="195"/>
      <c r="D40" s="195"/>
      <c r="E40" s="195"/>
      <c r="F40" s="195"/>
      <c r="G40" s="195"/>
      <c r="H40" s="195"/>
      <c r="I40" s="195"/>
      <c r="J40" s="195"/>
      <c r="K40" s="195"/>
    </row>
    <row r="41" spans="2:11" ht="27.75" customHeight="1" x14ac:dyDescent="0.3">
      <c r="B41" s="232" t="s">
        <v>737</v>
      </c>
      <c r="C41" s="232"/>
      <c r="D41" s="232"/>
      <c r="E41" s="232"/>
      <c r="F41" s="232"/>
      <c r="G41" s="232"/>
      <c r="H41" s="232"/>
      <c r="I41" s="232"/>
      <c r="J41" s="232"/>
      <c r="K41" s="232"/>
    </row>
    <row r="42" spans="2:11" ht="27.75" customHeight="1" x14ac:dyDescent="0.3">
      <c r="B42" s="232" t="s">
        <v>599</v>
      </c>
      <c r="C42" s="232"/>
      <c r="D42" s="232"/>
      <c r="E42" s="232"/>
      <c r="F42" s="232"/>
      <c r="G42" s="232"/>
      <c r="H42" s="232"/>
      <c r="I42" s="232"/>
      <c r="J42" s="232"/>
      <c r="K42" s="232"/>
    </row>
    <row r="43" spans="2:11" ht="27.75" customHeight="1" x14ac:dyDescent="0.3">
      <c r="B43" s="232" t="s">
        <v>600</v>
      </c>
      <c r="C43" s="232"/>
      <c r="D43" s="232"/>
      <c r="E43" s="232"/>
      <c r="F43" s="232"/>
      <c r="G43" s="232"/>
      <c r="H43" s="232"/>
      <c r="I43" s="232"/>
      <c r="J43" s="232"/>
      <c r="K43" s="232"/>
    </row>
    <row r="44" spans="2:11" ht="27.75" customHeight="1" x14ac:dyDescent="0.3">
      <c r="B44" s="232" t="s">
        <v>601</v>
      </c>
      <c r="C44" s="232"/>
      <c r="D44" s="232"/>
      <c r="E44" s="232"/>
      <c r="F44" s="232"/>
      <c r="G44" s="232"/>
      <c r="H44" s="232"/>
      <c r="I44" s="232"/>
      <c r="J44" s="232"/>
      <c r="K44" s="232"/>
    </row>
    <row r="45" spans="2:11" ht="27.75" customHeight="1" x14ac:dyDescent="0.3">
      <c r="B45" s="232" t="s">
        <v>602</v>
      </c>
      <c r="C45" s="232"/>
      <c r="D45" s="232"/>
      <c r="E45" s="232"/>
      <c r="F45" s="232"/>
      <c r="G45" s="232"/>
      <c r="H45" s="232"/>
      <c r="I45" s="232"/>
      <c r="J45" s="232"/>
      <c r="K45" s="232"/>
    </row>
    <row r="46" spans="2:11" ht="27.75" customHeight="1" x14ac:dyDescent="0.3">
      <c r="B46" s="232" t="s">
        <v>603</v>
      </c>
      <c r="C46" s="232"/>
      <c r="D46" s="232"/>
      <c r="E46" s="232"/>
      <c r="F46" s="232"/>
      <c r="G46" s="232"/>
      <c r="H46" s="232"/>
      <c r="I46" s="232"/>
      <c r="J46" s="232"/>
      <c r="K46" s="232"/>
    </row>
    <row r="47" spans="2:11" ht="27.75" customHeight="1" x14ac:dyDescent="0.3">
      <c r="B47" s="232" t="s">
        <v>604</v>
      </c>
      <c r="C47" s="232"/>
      <c r="D47" s="232"/>
      <c r="E47" s="232"/>
      <c r="F47" s="232"/>
      <c r="G47" s="232"/>
      <c r="H47" s="232"/>
      <c r="I47" s="232"/>
      <c r="J47" s="232"/>
      <c r="K47" s="232"/>
    </row>
    <row r="48" spans="2:11" ht="27.75" customHeight="1" x14ac:dyDescent="0.3">
      <c r="B48" s="232" t="s">
        <v>605</v>
      </c>
      <c r="C48" s="232"/>
      <c r="D48" s="232"/>
      <c r="E48" s="232"/>
      <c r="F48" s="232"/>
      <c r="G48" s="232"/>
      <c r="H48" s="232"/>
      <c r="I48" s="232"/>
      <c r="J48" s="232"/>
      <c r="K48" s="232"/>
    </row>
    <row r="49" spans="2:8" ht="15.75" customHeight="1" x14ac:dyDescent="0.3"/>
    <row r="50" spans="2:8" ht="19.5" customHeight="1" x14ac:dyDescent="0.3">
      <c r="B50" s="230" t="s">
        <v>401</v>
      </c>
      <c r="C50" s="230"/>
      <c r="D50" s="230"/>
      <c r="E50" s="230"/>
      <c r="F50" s="230"/>
      <c r="G50" s="230"/>
      <c r="H50" s="230"/>
    </row>
    <row r="51" spans="2:8" ht="15.75" customHeight="1" x14ac:dyDescent="0.3">
      <c r="B51" s="29" t="s">
        <v>402</v>
      </c>
      <c r="C51" s="29" t="s">
        <v>86</v>
      </c>
      <c r="D51" s="29" t="s">
        <v>87</v>
      </c>
      <c r="E51" s="29" t="s">
        <v>88</v>
      </c>
      <c r="F51" s="29" t="s">
        <v>89</v>
      </c>
      <c r="G51" s="29" t="s">
        <v>90</v>
      </c>
    </row>
    <row r="52" spans="2:8" ht="15.75" customHeight="1" x14ac:dyDescent="0.3">
      <c r="B52" s="30" t="s">
        <v>403</v>
      </c>
      <c r="C52" s="135">
        <v>10</v>
      </c>
      <c r="D52" s="136">
        <v>2</v>
      </c>
      <c r="E52" s="136">
        <v>3</v>
      </c>
      <c r="F52" s="136">
        <v>2</v>
      </c>
      <c r="G52" s="136">
        <v>3</v>
      </c>
    </row>
    <row r="53" spans="2:8" ht="15.75" customHeight="1" x14ac:dyDescent="0.3">
      <c r="B53" s="191" t="s">
        <v>606</v>
      </c>
      <c r="C53" s="191"/>
      <c r="D53" s="191"/>
      <c r="E53" s="191"/>
      <c r="F53" s="191"/>
      <c r="G53" s="191"/>
      <c r="H53" s="191"/>
    </row>
    <row r="54" spans="2:8" ht="15.75" customHeight="1" x14ac:dyDescent="0.3">
      <c r="B54" s="191"/>
      <c r="C54" s="191"/>
      <c r="D54" s="191"/>
      <c r="E54" s="191"/>
      <c r="F54" s="191"/>
      <c r="G54" s="191"/>
      <c r="H54" s="191"/>
    </row>
    <row r="55" spans="2:8" ht="15.75" customHeight="1" x14ac:dyDescent="0.3"/>
    <row r="56" spans="2:8" ht="15.75" customHeight="1" x14ac:dyDescent="0.3"/>
    <row r="57" spans="2:8" ht="15.75" customHeight="1" x14ac:dyDescent="0.3"/>
    <row r="58" spans="2:8" ht="15.75" customHeight="1" x14ac:dyDescent="0.3"/>
    <row r="59" spans="2:8" ht="15.75" customHeight="1" x14ac:dyDescent="0.3"/>
    <row r="60" spans="2:8" ht="15.75" customHeight="1" x14ac:dyDescent="0.3"/>
    <row r="61" spans="2:8" ht="15.75" customHeight="1" x14ac:dyDescent="0.3"/>
    <row r="62" spans="2:8" ht="15.75" customHeight="1" x14ac:dyDescent="0.3"/>
    <row r="63" spans="2:8" ht="15.75" customHeight="1" x14ac:dyDescent="0.3"/>
    <row r="64" spans="2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29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M12:R19"/>
    <mergeCell ref="B28:K28"/>
    <mergeCell ref="B40:K40"/>
    <mergeCell ref="B41:K41"/>
    <mergeCell ref="B42:K42"/>
    <mergeCell ref="B23:H23"/>
    <mergeCell ref="B48:K48"/>
    <mergeCell ref="B50:H50"/>
    <mergeCell ref="B53:H54"/>
    <mergeCell ref="B43:K43"/>
    <mergeCell ref="B44:K44"/>
    <mergeCell ref="B45:K45"/>
    <mergeCell ref="B46:K46"/>
    <mergeCell ref="B47:K47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L1000"/>
  <sheetViews>
    <sheetView showGridLines="0" topLeftCell="A10" zoomScaleNormal="100" workbookViewId="0">
      <selection activeCell="F10" sqref="F10"/>
    </sheetView>
  </sheetViews>
  <sheetFormatPr defaultColWidth="14.44140625" defaultRowHeight="14.4" x14ac:dyDescent="0.3"/>
  <cols>
    <col min="1" max="1" width="2" customWidth="1"/>
    <col min="2" max="2" width="28" customWidth="1"/>
    <col min="3" max="9" width="13" customWidth="1"/>
    <col min="10" max="10" width="30" customWidth="1"/>
    <col min="11" max="11" width="2" customWidth="1"/>
    <col min="12" max="26" width="8.6640625" customWidth="1"/>
  </cols>
  <sheetData>
    <row r="1" spans="2:12" ht="15" customHeight="1" x14ac:dyDescent="0.3"/>
    <row r="2" spans="2:12" ht="31.5" customHeight="1" x14ac:dyDescent="0.3">
      <c r="B2" s="209" t="s">
        <v>607</v>
      </c>
      <c r="C2" s="209"/>
      <c r="D2" s="209"/>
      <c r="E2" s="209"/>
      <c r="F2" s="209"/>
      <c r="G2" s="209"/>
      <c r="H2" s="209"/>
      <c r="I2" s="209"/>
      <c r="J2" s="209"/>
    </row>
    <row r="3" spans="2:12" ht="15" customHeight="1" x14ac:dyDescent="0.3"/>
    <row r="4" spans="2:12" ht="49.5" customHeight="1" x14ac:dyDescent="0.3">
      <c r="B4" s="207" t="s">
        <v>608</v>
      </c>
      <c r="C4" s="207"/>
      <c r="D4" s="207"/>
      <c r="E4" s="207"/>
      <c r="F4" s="207"/>
      <c r="G4" s="207"/>
      <c r="H4" s="207"/>
      <c r="I4" s="207"/>
      <c r="J4" s="207"/>
    </row>
    <row r="5" spans="2:12" ht="15" customHeight="1" x14ac:dyDescent="0.3"/>
    <row r="6" spans="2:12" ht="18" customHeight="1" x14ac:dyDescent="0.3">
      <c r="B6" s="240" t="s">
        <v>354</v>
      </c>
      <c r="C6" s="240"/>
      <c r="E6" s="240" t="s">
        <v>568</v>
      </c>
      <c r="F6" s="240"/>
      <c r="H6" s="240"/>
      <c r="I6" s="240"/>
      <c r="K6" s="240" t="s">
        <v>17</v>
      </c>
      <c r="L6" s="240"/>
    </row>
    <row r="7" spans="2:12" ht="31.5" customHeight="1" x14ac:dyDescent="0.3">
      <c r="B7" s="241" t="s">
        <v>309</v>
      </c>
      <c r="C7" s="241"/>
      <c r="E7" s="241" t="s">
        <v>423</v>
      </c>
      <c r="F7" s="241"/>
      <c r="H7" s="241"/>
      <c r="I7" s="241"/>
      <c r="K7" s="241" t="s">
        <v>609</v>
      </c>
      <c r="L7" s="241"/>
    </row>
    <row r="8" spans="2:12" ht="27.75" customHeight="1" x14ac:dyDescent="0.3">
      <c r="B8" s="239" t="s">
        <v>610</v>
      </c>
      <c r="C8" s="239"/>
      <c r="E8" s="239" t="s">
        <v>611</v>
      </c>
      <c r="F8" s="239"/>
      <c r="H8" s="239" t="s">
        <v>612</v>
      </c>
      <c r="I8" s="239"/>
      <c r="K8" s="239" t="s">
        <v>613</v>
      </c>
      <c r="L8" s="239"/>
    </row>
    <row r="9" spans="2:12" ht="15" customHeight="1" x14ac:dyDescent="0.3"/>
    <row r="10" spans="2:12" ht="15" customHeight="1" x14ac:dyDescent="0.3"/>
    <row r="11" spans="2:12" ht="21.75" customHeight="1" x14ac:dyDescent="0.3">
      <c r="B11" s="195" t="s">
        <v>614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2" ht="30" customHeight="1" x14ac:dyDescent="0.3">
      <c r="B12" s="29" t="s">
        <v>11</v>
      </c>
      <c r="C12" s="29" t="s">
        <v>13</v>
      </c>
      <c r="D12" s="29" t="s">
        <v>385</v>
      </c>
      <c r="E12" s="29" t="s">
        <v>14</v>
      </c>
      <c r="F12" s="29" t="s">
        <v>15</v>
      </c>
      <c r="G12" s="29" t="s">
        <v>16</v>
      </c>
      <c r="H12" s="29"/>
      <c r="I12" s="29" t="s">
        <v>17</v>
      </c>
      <c r="J12" s="29" t="s">
        <v>18</v>
      </c>
    </row>
    <row r="13" spans="2:12" ht="36" customHeight="1" x14ac:dyDescent="0.3">
      <c r="B13" s="128">
        <v>1</v>
      </c>
      <c r="C13" s="127" t="s">
        <v>29</v>
      </c>
      <c r="D13" s="127" t="s">
        <v>64</v>
      </c>
      <c r="E13" s="54" t="s">
        <v>65</v>
      </c>
      <c r="F13" s="54" t="s">
        <v>26</v>
      </c>
      <c r="G13" s="54" t="s">
        <v>423</v>
      </c>
      <c r="H13" s="54"/>
      <c r="I13" s="54" t="s">
        <v>615</v>
      </c>
      <c r="J13" s="127" t="s">
        <v>616</v>
      </c>
    </row>
    <row r="14" spans="2:12" ht="36" customHeight="1" x14ac:dyDescent="0.3">
      <c r="B14" s="128">
        <v>2</v>
      </c>
      <c r="C14" s="127" t="s">
        <v>223</v>
      </c>
      <c r="D14" s="127" t="s">
        <v>67</v>
      </c>
      <c r="E14" s="54" t="s">
        <v>65</v>
      </c>
      <c r="F14" s="54" t="s">
        <v>26</v>
      </c>
      <c r="G14" s="54" t="s">
        <v>617</v>
      </c>
      <c r="H14" s="54"/>
      <c r="I14" s="54" t="s">
        <v>615</v>
      </c>
      <c r="J14" s="127" t="s">
        <v>618</v>
      </c>
    </row>
    <row r="15" spans="2:12" ht="36" customHeight="1" x14ac:dyDescent="0.3">
      <c r="B15" s="128">
        <v>3</v>
      </c>
      <c r="C15" s="127" t="s">
        <v>29</v>
      </c>
      <c r="D15" s="127" t="s">
        <v>619</v>
      </c>
      <c r="E15" s="54" t="s">
        <v>65</v>
      </c>
      <c r="F15" s="54" t="s">
        <v>26</v>
      </c>
      <c r="G15" s="54" t="s">
        <v>423</v>
      </c>
      <c r="H15" s="54"/>
      <c r="I15" s="54" t="s">
        <v>615</v>
      </c>
      <c r="J15" s="127" t="s">
        <v>620</v>
      </c>
    </row>
    <row r="16" spans="2:12" ht="21.75" customHeight="1" x14ac:dyDescent="0.3">
      <c r="B16" s="131"/>
      <c r="C16" s="132" t="s">
        <v>392</v>
      </c>
      <c r="D16" s="132"/>
      <c r="E16" s="132"/>
      <c r="F16" s="132"/>
      <c r="G16" s="132" t="s">
        <v>423</v>
      </c>
      <c r="H16" s="132"/>
      <c r="I16" s="132" t="s">
        <v>621</v>
      </c>
      <c r="J16" s="132" t="s">
        <v>622</v>
      </c>
    </row>
    <row r="17" spans="2:11" ht="15" customHeight="1" x14ac:dyDescent="0.3"/>
    <row r="18" spans="2:11" ht="21.75" customHeight="1" x14ac:dyDescent="0.3">
      <c r="B18" s="195" t="s">
        <v>623</v>
      </c>
      <c r="C18" s="195"/>
      <c r="D18" s="195"/>
      <c r="E18" s="195"/>
      <c r="F18" s="195"/>
      <c r="G18" s="195"/>
      <c r="H18" s="195"/>
      <c r="I18" s="195"/>
      <c r="J18" s="195"/>
      <c r="K18" s="195"/>
    </row>
    <row r="19" spans="2:11" ht="30" customHeight="1" x14ac:dyDescent="0.3">
      <c r="B19" s="29" t="s">
        <v>364</v>
      </c>
      <c r="C19" s="29" t="s">
        <v>365</v>
      </c>
      <c r="D19" s="29" t="s">
        <v>366</v>
      </c>
      <c r="E19" s="29" t="s">
        <v>309</v>
      </c>
      <c r="F19" s="29" t="s">
        <v>309</v>
      </c>
      <c r="G19" s="29" t="s">
        <v>367</v>
      </c>
      <c r="H19" s="29" t="s">
        <v>368</v>
      </c>
      <c r="I19" s="29" t="s">
        <v>369</v>
      </c>
      <c r="J19" s="29" t="s">
        <v>18</v>
      </c>
    </row>
    <row r="20" spans="2:11" ht="49.5" customHeight="1" x14ac:dyDescent="0.3">
      <c r="B20" s="207" t="s">
        <v>624</v>
      </c>
      <c r="C20" s="207"/>
      <c r="D20" s="207"/>
      <c r="E20" s="207"/>
      <c r="F20" s="207"/>
      <c r="G20" s="207"/>
      <c r="H20" s="207"/>
      <c r="I20" s="207"/>
      <c r="J20" s="207"/>
    </row>
    <row r="21" spans="2:11" ht="15.75" customHeight="1" x14ac:dyDescent="0.3"/>
    <row r="22" spans="2:11" ht="15.75" customHeight="1" x14ac:dyDescent="0.3"/>
    <row r="23" spans="2:11" ht="21.75" customHeight="1" x14ac:dyDescent="0.3">
      <c r="B23" s="195" t="s">
        <v>393</v>
      </c>
      <c r="C23" s="195"/>
      <c r="D23" s="195"/>
      <c r="E23" s="195"/>
      <c r="F23" s="195"/>
      <c r="G23" s="195"/>
      <c r="H23" s="195"/>
      <c r="I23" s="195"/>
      <c r="J23" s="195"/>
      <c r="K23" s="195"/>
    </row>
    <row r="24" spans="2:11" ht="27.75" customHeight="1" x14ac:dyDescent="0.3">
      <c r="B24" s="232" t="s">
        <v>625</v>
      </c>
      <c r="C24" s="232"/>
      <c r="D24" s="232"/>
      <c r="E24" s="232"/>
      <c r="F24" s="232"/>
      <c r="G24" s="232"/>
      <c r="H24" s="232"/>
      <c r="I24" s="232"/>
      <c r="J24" s="232"/>
      <c r="K24" s="232"/>
    </row>
    <row r="25" spans="2:11" ht="27.75" customHeight="1" x14ac:dyDescent="0.3">
      <c r="B25" s="232" t="s">
        <v>626</v>
      </c>
      <c r="C25" s="232"/>
      <c r="D25" s="232"/>
      <c r="E25" s="232"/>
      <c r="F25" s="232"/>
      <c r="G25" s="232"/>
      <c r="H25" s="232"/>
      <c r="I25" s="232"/>
      <c r="J25" s="232"/>
      <c r="K25" s="232"/>
    </row>
    <row r="26" spans="2:11" ht="27.75" customHeight="1" x14ac:dyDescent="0.3">
      <c r="B26" s="232" t="s">
        <v>627</v>
      </c>
      <c r="C26" s="232"/>
      <c r="D26" s="232"/>
      <c r="E26" s="232"/>
      <c r="F26" s="232"/>
      <c r="G26" s="232"/>
      <c r="H26" s="232"/>
      <c r="I26" s="232"/>
      <c r="J26" s="232"/>
      <c r="K26" s="232"/>
    </row>
    <row r="27" spans="2:11" ht="27.75" customHeight="1" x14ac:dyDescent="0.3">
      <c r="B27" s="232" t="s">
        <v>628</v>
      </c>
      <c r="C27" s="232"/>
      <c r="D27" s="232"/>
      <c r="E27" s="232"/>
      <c r="F27" s="232"/>
      <c r="G27" s="232"/>
      <c r="H27" s="232"/>
      <c r="I27" s="232"/>
      <c r="J27" s="232"/>
      <c r="K27" s="232"/>
    </row>
    <row r="28" spans="2:11" ht="27.75" customHeight="1" x14ac:dyDescent="0.3">
      <c r="B28" s="232" t="s">
        <v>629</v>
      </c>
      <c r="C28" s="232"/>
      <c r="D28" s="232"/>
      <c r="E28" s="232"/>
      <c r="F28" s="232"/>
      <c r="G28" s="232"/>
      <c r="H28" s="232"/>
      <c r="I28" s="232"/>
      <c r="J28" s="232"/>
      <c r="K28" s="232"/>
    </row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2:J2"/>
    <mergeCell ref="B4:J4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11:K11"/>
    <mergeCell ref="B26:K26"/>
    <mergeCell ref="B27:K27"/>
    <mergeCell ref="B28:K28"/>
    <mergeCell ref="B18:K18"/>
    <mergeCell ref="B20:J20"/>
    <mergeCell ref="B23:K23"/>
    <mergeCell ref="B24:K24"/>
    <mergeCell ref="B25:K25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R1024"/>
  <sheetViews>
    <sheetView showGridLines="0" zoomScaleNormal="100" workbookViewId="0">
      <selection activeCell="C33" sqref="C33"/>
    </sheetView>
  </sheetViews>
  <sheetFormatPr defaultColWidth="14.44140625" defaultRowHeight="14.4" x14ac:dyDescent="0.3"/>
  <cols>
    <col min="1" max="1" width="2" customWidth="1"/>
    <col min="2" max="2" width="28" customWidth="1"/>
    <col min="3" max="3" width="13" customWidth="1"/>
    <col min="4" max="9" width="8.6640625" customWidth="1"/>
    <col min="10" max="10" width="30" customWidth="1"/>
    <col min="11" max="11" width="2" customWidth="1"/>
    <col min="12" max="26" width="8.6640625" customWidth="1"/>
  </cols>
  <sheetData>
    <row r="1" spans="2:12" ht="15" customHeight="1" x14ac:dyDescent="0.3"/>
    <row r="2" spans="2:12" ht="31.5" customHeight="1" x14ac:dyDescent="0.3">
      <c r="B2" s="162" t="s">
        <v>630</v>
      </c>
      <c r="C2" s="162"/>
      <c r="D2" s="162"/>
      <c r="E2" s="162"/>
      <c r="F2" s="162"/>
      <c r="G2" s="162"/>
      <c r="H2" s="162"/>
      <c r="I2" s="162"/>
      <c r="J2" s="162"/>
    </row>
    <row r="3" spans="2:12" ht="15" customHeight="1" x14ac:dyDescent="0.3"/>
    <row r="4" spans="2:12" ht="39.75" customHeight="1" x14ac:dyDescent="0.3">
      <c r="B4" s="207" t="s">
        <v>631</v>
      </c>
      <c r="C4" s="207"/>
      <c r="D4" s="207"/>
      <c r="E4" s="207"/>
      <c r="F4" s="207"/>
      <c r="G4" s="207"/>
      <c r="H4" s="207"/>
      <c r="I4" s="207"/>
      <c r="J4" s="207"/>
    </row>
    <row r="5" spans="2:12" ht="15" customHeight="1" x14ac:dyDescent="0.3"/>
    <row r="6" spans="2:12" ht="18" customHeight="1" x14ac:dyDescent="0.3">
      <c r="B6" s="234" t="s">
        <v>354</v>
      </c>
      <c r="C6" s="234"/>
      <c r="E6" s="234" t="s">
        <v>355</v>
      </c>
      <c r="F6" s="234"/>
      <c r="H6" s="234" t="s">
        <v>733</v>
      </c>
      <c r="I6" s="234"/>
      <c r="K6" s="234" t="s">
        <v>356</v>
      </c>
      <c r="L6" s="234"/>
    </row>
    <row r="7" spans="2:12" ht="31.5" customHeight="1" x14ac:dyDescent="0.3">
      <c r="B7" s="235" t="s">
        <v>632</v>
      </c>
      <c r="C7" s="235"/>
      <c r="E7" s="235" t="s">
        <v>633</v>
      </c>
      <c r="F7" s="235"/>
      <c r="H7" s="244">
        <v>1512</v>
      </c>
      <c r="I7" s="235"/>
      <c r="K7" s="235" t="s">
        <v>634</v>
      </c>
      <c r="L7" s="235"/>
    </row>
    <row r="8" spans="2:12" ht="27.75" customHeight="1" x14ac:dyDescent="0.3">
      <c r="B8" s="233" t="s">
        <v>635</v>
      </c>
      <c r="C8" s="233"/>
      <c r="E8" s="233" t="s">
        <v>636</v>
      </c>
      <c r="F8" s="233"/>
      <c r="H8" s="233" t="s">
        <v>361</v>
      </c>
      <c r="I8" s="233"/>
      <c r="K8" s="233" t="s">
        <v>637</v>
      </c>
      <c r="L8" s="233"/>
    </row>
    <row r="9" spans="2:12" ht="15" customHeight="1" x14ac:dyDescent="0.3"/>
    <row r="10" spans="2:12" ht="15" customHeight="1" x14ac:dyDescent="0.3"/>
    <row r="11" spans="2:12" ht="21.75" customHeight="1" x14ac:dyDescent="0.3">
      <c r="B11" s="195" t="s">
        <v>638</v>
      </c>
      <c r="C11" s="195"/>
      <c r="D11" s="195"/>
      <c r="E11" s="195"/>
      <c r="F11" s="195"/>
      <c r="G11" s="195"/>
      <c r="H11" s="195"/>
      <c r="I11" s="195"/>
      <c r="J11" s="195"/>
      <c r="K11" s="195"/>
    </row>
    <row r="12" spans="2:12" ht="30" customHeight="1" x14ac:dyDescent="0.3">
      <c r="B12" s="29" t="s">
        <v>13</v>
      </c>
      <c r="C12" s="29" t="s">
        <v>385</v>
      </c>
      <c r="D12" s="29" t="s">
        <v>14</v>
      </c>
      <c r="E12" s="29" t="s">
        <v>639</v>
      </c>
      <c r="F12" s="29" t="s">
        <v>355</v>
      </c>
      <c r="G12" s="29" t="s">
        <v>640</v>
      </c>
    </row>
    <row r="13" spans="2:12" ht="32.25" customHeight="1" x14ac:dyDescent="0.3">
      <c r="B13" s="127" t="s">
        <v>641</v>
      </c>
      <c r="C13" s="127" t="s">
        <v>74</v>
      </c>
      <c r="D13" s="127" t="s">
        <v>75</v>
      </c>
      <c r="E13" s="127" t="s">
        <v>642</v>
      </c>
      <c r="F13" s="128">
        <v>10</v>
      </c>
      <c r="G13" s="54" t="s">
        <v>643</v>
      </c>
    </row>
    <row r="14" spans="2:12" ht="32.25" customHeight="1" x14ac:dyDescent="0.3">
      <c r="B14" s="127" t="s">
        <v>644</v>
      </c>
      <c r="C14" s="127" t="s">
        <v>77</v>
      </c>
      <c r="D14" s="127" t="s">
        <v>75</v>
      </c>
      <c r="E14" s="127" t="s">
        <v>78</v>
      </c>
      <c r="F14" s="128">
        <v>29</v>
      </c>
      <c r="G14" s="54" t="s">
        <v>645</v>
      </c>
    </row>
    <row r="15" spans="2:12" ht="32.25" customHeight="1" x14ac:dyDescent="0.3">
      <c r="B15" s="127" t="s">
        <v>644</v>
      </c>
      <c r="C15" s="127" t="s">
        <v>79</v>
      </c>
      <c r="D15" s="127" t="s">
        <v>80</v>
      </c>
      <c r="E15" s="127" t="s">
        <v>646</v>
      </c>
      <c r="F15" s="128">
        <v>27</v>
      </c>
      <c r="G15" s="54" t="s">
        <v>647</v>
      </c>
    </row>
    <row r="16" spans="2:12" ht="32.25" customHeight="1" x14ac:dyDescent="0.3">
      <c r="B16" s="127" t="s">
        <v>648</v>
      </c>
      <c r="C16" s="127" t="s">
        <v>649</v>
      </c>
      <c r="D16" s="127" t="s">
        <v>650</v>
      </c>
      <c r="E16" s="127" t="s">
        <v>651</v>
      </c>
      <c r="F16" s="128">
        <v>0</v>
      </c>
      <c r="G16" s="54" t="s">
        <v>309</v>
      </c>
    </row>
    <row r="17" spans="2:18" ht="21.75" customHeight="1" x14ac:dyDescent="0.3">
      <c r="B17" s="131" t="s">
        <v>652</v>
      </c>
      <c r="C17" s="132"/>
      <c r="D17" s="132"/>
      <c r="E17" s="132"/>
      <c r="F17" s="132">
        <v>66</v>
      </c>
      <c r="G17" s="132" t="s">
        <v>653</v>
      </c>
    </row>
    <row r="18" spans="2:18" ht="15" customHeight="1" x14ac:dyDescent="0.3"/>
    <row r="19" spans="2:18" ht="15" customHeight="1" x14ac:dyDescent="0.3">
      <c r="B19" s="230" t="s">
        <v>750</v>
      </c>
      <c r="C19" s="230"/>
      <c r="D19" s="230"/>
      <c r="E19" s="230"/>
      <c r="F19" s="230"/>
      <c r="G19" s="230"/>
      <c r="H19" s="230"/>
    </row>
    <row r="20" spans="2:18" ht="15" customHeight="1" x14ac:dyDescent="0.3">
      <c r="B20" s="29" t="s">
        <v>402</v>
      </c>
      <c r="C20" s="29" t="s">
        <v>86</v>
      </c>
      <c r="D20" s="29" t="s">
        <v>87</v>
      </c>
      <c r="E20" s="29" t="s">
        <v>88</v>
      </c>
      <c r="F20" s="29" t="s">
        <v>89</v>
      </c>
      <c r="G20" s="29" t="s">
        <v>90</v>
      </c>
    </row>
    <row r="21" spans="2:18" ht="15" customHeight="1" x14ac:dyDescent="0.3">
      <c r="B21" s="30" t="s">
        <v>19</v>
      </c>
      <c r="C21" s="135">
        <v>66</v>
      </c>
      <c r="D21" s="136">
        <v>16</v>
      </c>
      <c r="E21" s="136">
        <v>17</v>
      </c>
      <c r="F21" s="136">
        <v>16</v>
      </c>
      <c r="G21" s="136">
        <v>17</v>
      </c>
    </row>
    <row r="22" spans="2:18" ht="15" customHeight="1" x14ac:dyDescent="0.3">
      <c r="B22" s="30" t="s">
        <v>751</v>
      </c>
      <c r="C22" s="135">
        <f>F32+F51+F68</f>
        <v>1341</v>
      </c>
      <c r="D22" s="136">
        <f>C22/66*16</f>
        <v>325.09090909090907</v>
      </c>
      <c r="E22" s="136">
        <f>C22/66*17</f>
        <v>345.40909090909088</v>
      </c>
      <c r="F22" s="136">
        <f>C22/66*16</f>
        <v>325.09090909090907</v>
      </c>
      <c r="G22" s="136">
        <f>C22/66*17</f>
        <v>345.40909090909088</v>
      </c>
    </row>
    <row r="23" spans="2:18" ht="15" customHeight="1" x14ac:dyDescent="0.3"/>
    <row r="24" spans="2:18" ht="21.75" customHeight="1" x14ac:dyDescent="0.3">
      <c r="B24" s="195" t="s">
        <v>654</v>
      </c>
      <c r="C24" s="195"/>
      <c r="D24" s="195"/>
      <c r="E24" s="195"/>
      <c r="F24" s="195"/>
      <c r="G24" s="195"/>
      <c r="H24" s="195"/>
      <c r="I24" s="195"/>
      <c r="J24" s="195"/>
      <c r="K24" s="195"/>
    </row>
    <row r="25" spans="2:18" ht="30" customHeight="1" x14ac:dyDescent="0.3">
      <c r="B25" s="29" t="s">
        <v>364</v>
      </c>
      <c r="C25" s="29" t="s">
        <v>365</v>
      </c>
      <c r="D25" s="29" t="s">
        <v>366</v>
      </c>
      <c r="E25" s="29" t="s">
        <v>730</v>
      </c>
      <c r="F25" s="29" t="s">
        <v>732</v>
      </c>
      <c r="G25" s="29" t="s">
        <v>367</v>
      </c>
      <c r="H25" s="29" t="s">
        <v>368</v>
      </c>
      <c r="I25" s="29" t="s">
        <v>369</v>
      </c>
      <c r="J25" s="29" t="s">
        <v>18</v>
      </c>
      <c r="M25" s="229"/>
      <c r="N25" s="229"/>
      <c r="O25" s="229"/>
      <c r="P25" s="229"/>
      <c r="Q25" s="229"/>
      <c r="R25" s="229"/>
    </row>
    <row r="26" spans="2:18" ht="30" customHeight="1" x14ac:dyDescent="0.3">
      <c r="B26" s="127" t="s">
        <v>300</v>
      </c>
      <c r="C26" s="128">
        <v>4</v>
      </c>
      <c r="D26" s="128">
        <v>4</v>
      </c>
      <c r="E26" s="129">
        <v>14</v>
      </c>
      <c r="F26" s="130">
        <f>E26*4</f>
        <v>56</v>
      </c>
      <c r="G26" s="54">
        <v>3</v>
      </c>
      <c r="H26" s="54">
        <v>12</v>
      </c>
      <c r="I26" s="54">
        <v>2</v>
      </c>
      <c r="J26" s="127" t="s">
        <v>583</v>
      </c>
      <c r="M26" s="229"/>
      <c r="N26" s="229"/>
      <c r="O26" s="229"/>
      <c r="P26" s="229"/>
      <c r="Q26" s="229"/>
      <c r="R26" s="229"/>
    </row>
    <row r="27" spans="2:18" ht="30" customHeight="1" x14ac:dyDescent="0.3">
      <c r="B27" s="127" t="s">
        <v>372</v>
      </c>
      <c r="C27" s="128">
        <v>3</v>
      </c>
      <c r="D27" s="128">
        <v>2</v>
      </c>
      <c r="E27" s="129">
        <v>14</v>
      </c>
      <c r="F27" s="130">
        <f>E27*2</f>
        <v>28</v>
      </c>
      <c r="G27" s="54">
        <v>3</v>
      </c>
      <c r="H27" s="54">
        <v>6</v>
      </c>
      <c r="I27" s="54">
        <v>1</v>
      </c>
      <c r="J27" s="127" t="s">
        <v>655</v>
      </c>
      <c r="M27" s="229"/>
      <c r="N27" s="229"/>
      <c r="O27" s="229"/>
      <c r="P27" s="229"/>
      <c r="Q27" s="229"/>
      <c r="R27" s="229"/>
    </row>
    <row r="28" spans="2:18" ht="30" customHeight="1" x14ac:dyDescent="0.3">
      <c r="B28" s="127" t="s">
        <v>304</v>
      </c>
      <c r="C28" s="128">
        <v>0</v>
      </c>
      <c r="D28" s="128">
        <v>3</v>
      </c>
      <c r="E28" s="129">
        <v>26</v>
      </c>
      <c r="F28" s="130">
        <f>E28*3</f>
        <v>78</v>
      </c>
      <c r="G28" s="54">
        <v>3</v>
      </c>
      <c r="H28" s="54">
        <v>9</v>
      </c>
      <c r="I28" s="54">
        <v>3</v>
      </c>
      <c r="J28" s="127" t="s">
        <v>584</v>
      </c>
      <c r="M28" s="229"/>
      <c r="N28" s="229"/>
      <c r="O28" s="229"/>
      <c r="P28" s="229"/>
      <c r="Q28" s="229"/>
      <c r="R28" s="229"/>
    </row>
    <row r="29" spans="2:18" ht="30" customHeight="1" x14ac:dyDescent="0.3">
      <c r="B29" s="127" t="s">
        <v>371</v>
      </c>
      <c r="C29" s="128">
        <v>1</v>
      </c>
      <c r="D29" s="128">
        <v>1</v>
      </c>
      <c r="E29" s="129">
        <v>39</v>
      </c>
      <c r="F29" s="130">
        <f>E29*1</f>
        <v>39</v>
      </c>
      <c r="G29" s="54">
        <v>4</v>
      </c>
      <c r="H29" s="54">
        <v>4</v>
      </c>
      <c r="I29" s="54">
        <v>1</v>
      </c>
      <c r="J29" s="127" t="s">
        <v>656</v>
      </c>
      <c r="M29" s="229"/>
      <c r="N29" s="229"/>
      <c r="O29" s="229"/>
      <c r="P29" s="229"/>
      <c r="Q29" s="229"/>
      <c r="R29" s="229"/>
    </row>
    <row r="30" spans="2:18" ht="30" customHeight="1" x14ac:dyDescent="0.3">
      <c r="B30" s="127" t="s">
        <v>762</v>
      </c>
      <c r="C30" s="128">
        <v>2</v>
      </c>
      <c r="D30" s="128">
        <v>0</v>
      </c>
      <c r="E30" s="129"/>
      <c r="F30" s="130"/>
      <c r="G30" s="54"/>
      <c r="H30" s="54"/>
      <c r="I30" s="54">
        <v>0</v>
      </c>
      <c r="J30" s="127"/>
      <c r="M30" s="229"/>
      <c r="N30" s="229"/>
      <c r="O30" s="229"/>
      <c r="P30" s="229"/>
      <c r="Q30" s="229"/>
      <c r="R30" s="229"/>
    </row>
    <row r="31" spans="2:18" ht="30" customHeight="1" x14ac:dyDescent="0.3">
      <c r="B31" s="127" t="s">
        <v>17</v>
      </c>
      <c r="C31" s="128">
        <v>0</v>
      </c>
      <c r="D31" s="128">
        <v>10</v>
      </c>
      <c r="E31" s="129"/>
      <c r="F31" s="130"/>
      <c r="G31" s="54"/>
      <c r="H31" s="54"/>
      <c r="I31" s="54">
        <v>5</v>
      </c>
      <c r="J31" s="127"/>
      <c r="M31" s="229"/>
      <c r="N31" s="229"/>
      <c r="O31" s="229"/>
      <c r="P31" s="229"/>
      <c r="Q31" s="229"/>
      <c r="R31" s="229"/>
    </row>
    <row r="32" spans="2:18" ht="30" customHeight="1" x14ac:dyDescent="0.3">
      <c r="B32" s="131" t="s">
        <v>381</v>
      </c>
      <c r="C32" s="132">
        <v>10</v>
      </c>
      <c r="D32" s="132">
        <v>10</v>
      </c>
      <c r="E32" s="132"/>
      <c r="F32" s="133">
        <f>SUM(F26:F29)</f>
        <v>201</v>
      </c>
      <c r="G32" s="132"/>
      <c r="H32" s="132">
        <v>31</v>
      </c>
      <c r="I32" s="132"/>
      <c r="J32" s="132"/>
      <c r="M32" s="229"/>
      <c r="N32" s="229"/>
      <c r="O32" s="229"/>
      <c r="P32" s="229"/>
      <c r="Q32" s="229"/>
      <c r="R32" s="229"/>
    </row>
    <row r="33" spans="2:18" ht="15.75" customHeight="1" x14ac:dyDescent="0.3">
      <c r="M33" s="229"/>
      <c r="N33" s="229"/>
      <c r="O33" s="229"/>
      <c r="P33" s="229"/>
      <c r="Q33" s="229"/>
      <c r="R33" s="229"/>
    </row>
    <row r="34" spans="2:18" ht="15.75" customHeight="1" x14ac:dyDescent="0.3">
      <c r="B34" s="230" t="s">
        <v>750</v>
      </c>
      <c r="C34" s="230"/>
      <c r="D34" s="230"/>
      <c r="E34" s="230"/>
      <c r="F34" s="230"/>
      <c r="G34" s="230"/>
      <c r="H34" s="230"/>
      <c r="M34" s="229"/>
      <c r="N34" s="229"/>
      <c r="O34" s="229"/>
      <c r="P34" s="229"/>
      <c r="Q34" s="229"/>
      <c r="R34" s="229"/>
    </row>
    <row r="35" spans="2:18" ht="15.75" customHeight="1" x14ac:dyDescent="0.3">
      <c r="B35" s="29" t="s">
        <v>402</v>
      </c>
      <c r="C35" s="29" t="s">
        <v>86</v>
      </c>
      <c r="D35" s="29" t="s">
        <v>87</v>
      </c>
      <c r="E35" s="29" t="s">
        <v>88</v>
      </c>
      <c r="F35" s="29" t="s">
        <v>89</v>
      </c>
      <c r="G35" s="29" t="s">
        <v>90</v>
      </c>
      <c r="M35" s="229"/>
      <c r="N35" s="229"/>
      <c r="O35" s="229"/>
      <c r="P35" s="229"/>
      <c r="Q35" s="229"/>
      <c r="R35" s="229"/>
    </row>
    <row r="36" spans="2:18" ht="15.75" customHeight="1" x14ac:dyDescent="0.3">
      <c r="B36" s="30" t="s">
        <v>19</v>
      </c>
      <c r="C36" s="135">
        <v>10</v>
      </c>
      <c r="D36" s="136">
        <v>2</v>
      </c>
      <c r="E36" s="136">
        <v>3</v>
      </c>
      <c r="F36" s="136">
        <v>2</v>
      </c>
      <c r="G36" s="136">
        <v>3</v>
      </c>
      <c r="M36" s="229"/>
      <c r="N36" s="229"/>
      <c r="O36" s="229"/>
      <c r="P36" s="229"/>
      <c r="Q36" s="229"/>
      <c r="R36" s="229"/>
    </row>
    <row r="37" spans="2:18" ht="15.75" customHeight="1" x14ac:dyDescent="0.3">
      <c r="B37" s="30" t="s">
        <v>751</v>
      </c>
      <c r="C37" s="135">
        <v>201</v>
      </c>
      <c r="D37" s="136">
        <f>C37/10*2</f>
        <v>40.200000000000003</v>
      </c>
      <c r="E37" s="136">
        <f>C37/10*3</f>
        <v>60.300000000000004</v>
      </c>
      <c r="F37" s="136">
        <f>C37/10*2</f>
        <v>40.200000000000003</v>
      </c>
      <c r="G37" s="136">
        <f>C37/10*3</f>
        <v>60.300000000000004</v>
      </c>
      <c r="M37" s="229"/>
      <c r="N37" s="229"/>
      <c r="O37" s="229"/>
      <c r="P37" s="229"/>
      <c r="Q37" s="229"/>
      <c r="R37" s="229"/>
    </row>
    <row r="38" spans="2:18" ht="15.75" customHeight="1" x14ac:dyDescent="0.3">
      <c r="M38" s="229"/>
      <c r="N38" s="229"/>
      <c r="O38" s="229"/>
      <c r="P38" s="229"/>
      <c r="Q38" s="229"/>
      <c r="R38" s="229"/>
    </row>
    <row r="39" spans="2:18" ht="21.75" customHeight="1" x14ac:dyDescent="0.3">
      <c r="B39" s="195" t="s">
        <v>657</v>
      </c>
      <c r="C39" s="195"/>
      <c r="D39" s="195"/>
      <c r="E39" s="195"/>
      <c r="F39" s="195"/>
      <c r="G39" s="195"/>
      <c r="H39" s="195"/>
      <c r="I39" s="195"/>
      <c r="J39" s="195"/>
      <c r="K39" s="195"/>
      <c r="M39" s="229"/>
      <c r="N39" s="229"/>
      <c r="O39" s="229"/>
      <c r="P39" s="229"/>
      <c r="Q39" s="229"/>
      <c r="R39" s="229"/>
    </row>
    <row r="40" spans="2:18" ht="30" customHeight="1" x14ac:dyDescent="0.3">
      <c r="B40" s="29" t="s">
        <v>364</v>
      </c>
      <c r="C40" s="29" t="s">
        <v>365</v>
      </c>
      <c r="D40" s="29" t="s">
        <v>366</v>
      </c>
      <c r="E40" s="29" t="s">
        <v>730</v>
      </c>
      <c r="F40" s="29" t="s">
        <v>732</v>
      </c>
      <c r="G40" s="29" t="s">
        <v>367</v>
      </c>
      <c r="H40" s="29" t="s">
        <v>368</v>
      </c>
      <c r="I40" s="29" t="s">
        <v>369</v>
      </c>
      <c r="J40" s="29" t="s">
        <v>18</v>
      </c>
    </row>
    <row r="41" spans="2:18" ht="21.75" customHeight="1" x14ac:dyDescent="0.3">
      <c r="B41" s="127" t="s">
        <v>300</v>
      </c>
      <c r="C41" s="128">
        <v>3</v>
      </c>
      <c r="D41" s="128">
        <v>9</v>
      </c>
      <c r="E41" s="129">
        <v>14</v>
      </c>
      <c r="F41" s="130">
        <f>E41*D41</f>
        <v>126</v>
      </c>
      <c r="G41" s="54">
        <v>2</v>
      </c>
      <c r="H41" s="54">
        <v>18</v>
      </c>
      <c r="I41" s="54">
        <v>2</v>
      </c>
      <c r="J41" s="127" t="s">
        <v>658</v>
      </c>
    </row>
    <row r="42" spans="2:18" ht="15" customHeight="1" x14ac:dyDescent="0.3">
      <c r="B42" s="127" t="s">
        <v>372</v>
      </c>
      <c r="C42" s="128">
        <v>0</v>
      </c>
      <c r="D42" s="128">
        <v>6</v>
      </c>
      <c r="E42" s="129">
        <v>14</v>
      </c>
      <c r="F42" s="130">
        <f t="shared" ref="F42:F49" si="0">E42*D42</f>
        <v>84</v>
      </c>
      <c r="G42" s="54">
        <v>3</v>
      </c>
      <c r="H42" s="54">
        <v>18</v>
      </c>
      <c r="I42" s="54">
        <v>1</v>
      </c>
      <c r="J42" s="127" t="s">
        <v>659</v>
      </c>
    </row>
    <row r="43" spans="2:18" ht="15" customHeight="1" x14ac:dyDescent="0.3">
      <c r="B43" s="127" t="s">
        <v>304</v>
      </c>
      <c r="C43" s="128">
        <v>0</v>
      </c>
      <c r="D43" s="128">
        <v>4</v>
      </c>
      <c r="E43" s="129">
        <v>26</v>
      </c>
      <c r="F43" s="130">
        <f t="shared" si="0"/>
        <v>104</v>
      </c>
      <c r="G43" s="54">
        <v>3</v>
      </c>
      <c r="H43" s="54">
        <v>12</v>
      </c>
      <c r="I43" s="54">
        <v>3</v>
      </c>
      <c r="J43" s="127" t="s">
        <v>584</v>
      </c>
    </row>
    <row r="44" spans="2:18" ht="15" customHeight="1" x14ac:dyDescent="0.3">
      <c r="B44" s="127" t="s">
        <v>371</v>
      </c>
      <c r="C44" s="128">
        <v>1</v>
      </c>
      <c r="D44" s="128">
        <v>3</v>
      </c>
      <c r="E44" s="129">
        <v>39</v>
      </c>
      <c r="F44" s="130">
        <f t="shared" si="0"/>
        <v>117</v>
      </c>
      <c r="G44" s="54">
        <v>4</v>
      </c>
      <c r="H44" s="54">
        <v>12</v>
      </c>
      <c r="I44" s="54">
        <v>1</v>
      </c>
      <c r="J44" s="127"/>
    </row>
    <row r="45" spans="2:18" ht="15" customHeight="1" x14ac:dyDescent="0.3">
      <c r="B45" s="127" t="s">
        <v>731</v>
      </c>
      <c r="C45" s="128">
        <v>0</v>
      </c>
      <c r="D45" s="128">
        <v>3</v>
      </c>
      <c r="E45" s="129">
        <v>17</v>
      </c>
      <c r="F45" s="130">
        <f t="shared" si="0"/>
        <v>51</v>
      </c>
      <c r="G45" s="54">
        <v>2</v>
      </c>
      <c r="H45" s="54">
        <v>6</v>
      </c>
      <c r="I45" s="54">
        <v>3</v>
      </c>
      <c r="J45" s="127" t="s">
        <v>660</v>
      </c>
    </row>
    <row r="46" spans="2:18" ht="15" customHeight="1" x14ac:dyDescent="0.3">
      <c r="B46" s="127" t="s">
        <v>297</v>
      </c>
      <c r="C46" s="128">
        <v>1</v>
      </c>
      <c r="D46" s="128">
        <v>1</v>
      </c>
      <c r="E46" s="129">
        <v>6</v>
      </c>
      <c r="F46" s="130">
        <f t="shared" si="0"/>
        <v>6</v>
      </c>
      <c r="G46" s="54">
        <v>3</v>
      </c>
      <c r="H46" s="54">
        <v>3</v>
      </c>
      <c r="I46" s="54">
        <v>3</v>
      </c>
      <c r="J46" s="127" t="s">
        <v>584</v>
      </c>
    </row>
    <row r="47" spans="2:18" ht="15" customHeight="1" x14ac:dyDescent="0.3">
      <c r="B47" s="127" t="s">
        <v>375</v>
      </c>
      <c r="C47" s="128">
        <v>0</v>
      </c>
      <c r="D47" s="128">
        <v>1</v>
      </c>
      <c r="E47" s="129">
        <v>14</v>
      </c>
      <c r="F47" s="130">
        <f t="shared" si="0"/>
        <v>14</v>
      </c>
      <c r="G47" s="54">
        <v>3</v>
      </c>
      <c r="H47" s="54">
        <v>3</v>
      </c>
      <c r="I47" s="54">
        <v>1</v>
      </c>
      <c r="J47" s="127" t="s">
        <v>584</v>
      </c>
    </row>
    <row r="48" spans="2:18" ht="15" customHeight="1" x14ac:dyDescent="0.3">
      <c r="B48" s="127" t="s">
        <v>306</v>
      </c>
      <c r="C48" s="128">
        <v>0</v>
      </c>
      <c r="D48" s="128">
        <v>1</v>
      </c>
      <c r="E48" s="129">
        <v>58</v>
      </c>
      <c r="F48" s="130">
        <f t="shared" si="0"/>
        <v>58</v>
      </c>
      <c r="G48" s="54" t="s">
        <v>377</v>
      </c>
      <c r="H48" s="54">
        <v>0</v>
      </c>
      <c r="I48" s="54" t="s">
        <v>378</v>
      </c>
      <c r="J48" s="127" t="s">
        <v>556</v>
      </c>
    </row>
    <row r="49" spans="2:11" ht="15" customHeight="1" x14ac:dyDescent="0.3">
      <c r="B49" s="127" t="s">
        <v>555</v>
      </c>
      <c r="C49" s="128">
        <v>1</v>
      </c>
      <c r="D49" s="128">
        <v>1</v>
      </c>
      <c r="E49" s="129">
        <v>7</v>
      </c>
      <c r="F49" s="130">
        <f t="shared" si="0"/>
        <v>7</v>
      </c>
      <c r="G49" s="54" t="s">
        <v>377</v>
      </c>
      <c r="H49" s="54">
        <v>0</v>
      </c>
      <c r="I49" s="54" t="s">
        <v>378</v>
      </c>
      <c r="J49" s="127" t="s">
        <v>661</v>
      </c>
    </row>
    <row r="50" spans="2:11" ht="15" customHeight="1" x14ac:dyDescent="0.3">
      <c r="B50" s="127" t="s">
        <v>17</v>
      </c>
      <c r="C50" s="128">
        <v>0</v>
      </c>
      <c r="D50" s="128">
        <v>10</v>
      </c>
      <c r="E50" s="129"/>
      <c r="F50" s="130"/>
      <c r="G50" s="54"/>
      <c r="H50" s="54"/>
      <c r="I50" s="54">
        <v>5</v>
      </c>
      <c r="J50" s="127"/>
    </row>
    <row r="51" spans="2:11" ht="21.75" customHeight="1" x14ac:dyDescent="0.3">
      <c r="B51" s="131" t="s">
        <v>381</v>
      </c>
      <c r="C51" s="132">
        <v>6</v>
      </c>
      <c r="D51" s="132">
        <v>29</v>
      </c>
      <c r="E51" s="132"/>
      <c r="F51" s="133">
        <f>SUM(F41:F49)</f>
        <v>567</v>
      </c>
      <c r="G51" s="132"/>
      <c r="H51" s="132">
        <v>72</v>
      </c>
      <c r="I51" s="132"/>
      <c r="J51" s="132"/>
    </row>
    <row r="52" spans="2:11" ht="15.75" customHeight="1" x14ac:dyDescent="0.3"/>
    <row r="53" spans="2:11" ht="15.75" customHeight="1" x14ac:dyDescent="0.3">
      <c r="B53" s="230" t="s">
        <v>750</v>
      </c>
      <c r="C53" s="230"/>
      <c r="D53" s="230"/>
      <c r="E53" s="230"/>
      <c r="F53" s="230"/>
      <c r="G53" s="230"/>
      <c r="H53" s="230"/>
    </row>
    <row r="54" spans="2:11" ht="15.75" customHeight="1" x14ac:dyDescent="0.3">
      <c r="B54" s="29" t="s">
        <v>402</v>
      </c>
      <c r="C54" s="29" t="s">
        <v>86</v>
      </c>
      <c r="D54" s="29" t="s">
        <v>87</v>
      </c>
      <c r="E54" s="29" t="s">
        <v>88</v>
      </c>
      <c r="F54" s="29" t="s">
        <v>89</v>
      </c>
      <c r="G54" s="29" t="s">
        <v>90</v>
      </c>
    </row>
    <row r="55" spans="2:11" ht="15.75" customHeight="1" x14ac:dyDescent="0.3">
      <c r="B55" s="30" t="s">
        <v>19</v>
      </c>
      <c r="C55" s="135">
        <v>29</v>
      </c>
      <c r="D55" s="136">
        <v>7</v>
      </c>
      <c r="E55" s="136">
        <v>7</v>
      </c>
      <c r="F55" s="136">
        <v>7</v>
      </c>
      <c r="G55" s="136">
        <v>8</v>
      </c>
    </row>
    <row r="56" spans="2:11" ht="15.75" customHeight="1" x14ac:dyDescent="0.3">
      <c r="B56" s="30" t="s">
        <v>751</v>
      </c>
      <c r="C56" s="135">
        <v>567</v>
      </c>
      <c r="D56" s="136">
        <f>C56/29*7</f>
        <v>136.86206896551724</v>
      </c>
      <c r="E56" s="136">
        <f>C56/29*7</f>
        <v>136.86206896551724</v>
      </c>
      <c r="F56" s="136">
        <f>C56/29*7</f>
        <v>136.86206896551724</v>
      </c>
      <c r="G56" s="136">
        <f>C56/29*8</f>
        <v>156.41379310344828</v>
      </c>
    </row>
    <row r="57" spans="2:11" ht="15.75" customHeight="1" x14ac:dyDescent="0.3"/>
    <row r="58" spans="2:11" ht="21.75" customHeight="1" x14ac:dyDescent="0.3">
      <c r="B58" s="195" t="s">
        <v>662</v>
      </c>
      <c r="C58" s="195"/>
      <c r="D58" s="195"/>
      <c r="E58" s="195"/>
      <c r="F58" s="195"/>
      <c r="G58" s="195"/>
      <c r="H58" s="195"/>
      <c r="I58" s="195"/>
      <c r="J58" s="195"/>
      <c r="K58" s="195"/>
    </row>
    <row r="59" spans="2:11" ht="30" customHeight="1" x14ac:dyDescent="0.3">
      <c r="B59" s="29" t="s">
        <v>364</v>
      </c>
      <c r="C59" s="29" t="s">
        <v>365</v>
      </c>
      <c r="D59" s="29" t="s">
        <v>366</v>
      </c>
      <c r="E59" s="29" t="s">
        <v>730</v>
      </c>
      <c r="F59" s="29" t="s">
        <v>732</v>
      </c>
      <c r="G59" s="29" t="s">
        <v>367</v>
      </c>
      <c r="H59" s="29" t="s">
        <v>368</v>
      </c>
      <c r="I59" s="29" t="s">
        <v>369</v>
      </c>
      <c r="J59" s="29" t="s">
        <v>18</v>
      </c>
    </row>
    <row r="60" spans="2:11" ht="15" customHeight="1" x14ac:dyDescent="0.3">
      <c r="B60" s="127" t="s">
        <v>300</v>
      </c>
      <c r="C60" s="128">
        <v>9</v>
      </c>
      <c r="D60" s="128">
        <v>10</v>
      </c>
      <c r="E60" s="129">
        <v>14</v>
      </c>
      <c r="F60" s="130">
        <f>E60*D60</f>
        <v>140</v>
      </c>
      <c r="G60" s="54">
        <v>1.5</v>
      </c>
      <c r="H60" s="54">
        <v>15</v>
      </c>
      <c r="I60" s="54">
        <v>2</v>
      </c>
      <c r="J60" s="127" t="s">
        <v>663</v>
      </c>
    </row>
    <row r="61" spans="2:11" ht="15" customHeight="1" x14ac:dyDescent="0.3">
      <c r="B61" s="127" t="s">
        <v>304</v>
      </c>
      <c r="C61" s="128">
        <v>0</v>
      </c>
      <c r="D61" s="128">
        <v>7</v>
      </c>
      <c r="E61" s="129">
        <v>26</v>
      </c>
      <c r="F61" s="130">
        <f t="shared" ref="F61:F66" si="1">E61*D61</f>
        <v>182</v>
      </c>
      <c r="G61" s="54">
        <v>2</v>
      </c>
      <c r="H61" s="54">
        <v>14</v>
      </c>
      <c r="I61" s="54">
        <v>3</v>
      </c>
      <c r="J61" s="127" t="s">
        <v>664</v>
      </c>
    </row>
    <row r="62" spans="2:11" ht="15" customHeight="1" x14ac:dyDescent="0.3">
      <c r="B62" s="127" t="s">
        <v>372</v>
      </c>
      <c r="C62" s="128">
        <v>0</v>
      </c>
      <c r="D62" s="128">
        <v>4</v>
      </c>
      <c r="E62" s="129">
        <v>14</v>
      </c>
      <c r="F62" s="130">
        <f t="shared" si="1"/>
        <v>56</v>
      </c>
      <c r="G62" s="54">
        <v>2</v>
      </c>
      <c r="H62" s="54">
        <v>8</v>
      </c>
      <c r="I62" s="54">
        <v>1</v>
      </c>
      <c r="J62" s="127" t="s">
        <v>665</v>
      </c>
    </row>
    <row r="63" spans="2:11" ht="15" customHeight="1" x14ac:dyDescent="0.3">
      <c r="B63" s="127" t="s">
        <v>371</v>
      </c>
      <c r="C63" s="128">
        <v>1</v>
      </c>
      <c r="D63" s="128">
        <v>3</v>
      </c>
      <c r="E63" s="129">
        <v>39</v>
      </c>
      <c r="F63" s="130">
        <f t="shared" si="1"/>
        <v>117</v>
      </c>
      <c r="G63" s="54">
        <v>1</v>
      </c>
      <c r="H63" s="54">
        <v>3</v>
      </c>
      <c r="I63" s="54">
        <v>1</v>
      </c>
      <c r="J63" s="127"/>
    </row>
    <row r="64" spans="2:11" ht="15" customHeight="1" x14ac:dyDescent="0.3">
      <c r="B64" s="127" t="s">
        <v>375</v>
      </c>
      <c r="C64" s="128">
        <v>0</v>
      </c>
      <c r="D64" s="128">
        <v>1</v>
      </c>
      <c r="E64" s="129">
        <v>14</v>
      </c>
      <c r="F64" s="130">
        <f t="shared" si="1"/>
        <v>14</v>
      </c>
      <c r="G64" s="54">
        <v>2</v>
      </c>
      <c r="H64" s="54">
        <v>2</v>
      </c>
      <c r="I64" s="54">
        <v>1</v>
      </c>
      <c r="J64" s="127" t="s">
        <v>584</v>
      </c>
    </row>
    <row r="65" spans="2:11" ht="15" customHeight="1" x14ac:dyDescent="0.3">
      <c r="B65" s="127" t="s">
        <v>297</v>
      </c>
      <c r="C65" s="128">
        <v>0</v>
      </c>
      <c r="D65" s="128">
        <v>1</v>
      </c>
      <c r="E65" s="129">
        <v>6</v>
      </c>
      <c r="F65" s="130">
        <f t="shared" si="1"/>
        <v>6</v>
      </c>
      <c r="G65" s="54">
        <v>2</v>
      </c>
      <c r="H65" s="54">
        <v>2</v>
      </c>
      <c r="I65" s="54">
        <v>3</v>
      </c>
      <c r="J65" s="127" t="s">
        <v>584</v>
      </c>
    </row>
    <row r="66" spans="2:11" ht="15" customHeight="1" x14ac:dyDescent="0.3">
      <c r="B66" s="127" t="s">
        <v>306</v>
      </c>
      <c r="C66" s="128">
        <v>0</v>
      </c>
      <c r="D66" s="128">
        <v>1</v>
      </c>
      <c r="E66" s="129">
        <v>58</v>
      </c>
      <c r="F66" s="130">
        <f t="shared" si="1"/>
        <v>58</v>
      </c>
      <c r="G66" s="54" t="s">
        <v>377</v>
      </c>
      <c r="H66" s="54">
        <v>0</v>
      </c>
      <c r="I66" s="54" t="s">
        <v>378</v>
      </c>
      <c r="J66" s="127" t="s">
        <v>556</v>
      </c>
    </row>
    <row r="67" spans="2:11" ht="15" customHeight="1" x14ac:dyDescent="0.3">
      <c r="B67" s="127" t="s">
        <v>17</v>
      </c>
      <c r="C67" s="128">
        <v>0</v>
      </c>
      <c r="D67" s="128">
        <v>10</v>
      </c>
      <c r="E67" s="129"/>
      <c r="F67" s="130"/>
      <c r="G67" s="54"/>
      <c r="H67" s="54"/>
      <c r="I67" s="54">
        <v>5</v>
      </c>
      <c r="J67" s="127"/>
    </row>
    <row r="68" spans="2:11" ht="21.75" customHeight="1" x14ac:dyDescent="0.3">
      <c r="B68" s="131" t="s">
        <v>381</v>
      </c>
      <c r="C68" s="132">
        <v>10</v>
      </c>
      <c r="D68" s="132">
        <v>27</v>
      </c>
      <c r="E68" s="132"/>
      <c r="F68" s="133">
        <f>SUM(F60:F66)</f>
        <v>573</v>
      </c>
      <c r="G68" s="132"/>
      <c r="H68" s="132">
        <v>44</v>
      </c>
      <c r="I68" s="132"/>
      <c r="J68" s="132"/>
    </row>
    <row r="69" spans="2:11" ht="15.75" customHeight="1" x14ac:dyDescent="0.3"/>
    <row r="70" spans="2:11" ht="15.75" customHeight="1" x14ac:dyDescent="0.3">
      <c r="B70" s="230" t="s">
        <v>750</v>
      </c>
      <c r="C70" s="230"/>
      <c r="D70" s="230"/>
      <c r="E70" s="230"/>
      <c r="F70" s="230"/>
      <c r="G70" s="230"/>
      <c r="H70" s="230"/>
    </row>
    <row r="71" spans="2:11" ht="15.75" customHeight="1" x14ac:dyDescent="0.3">
      <c r="B71" s="29" t="s">
        <v>402</v>
      </c>
      <c r="C71" s="29" t="s">
        <v>86</v>
      </c>
      <c r="D71" s="29" t="s">
        <v>87</v>
      </c>
      <c r="E71" s="29" t="s">
        <v>88</v>
      </c>
      <c r="F71" s="29" t="s">
        <v>89</v>
      </c>
      <c r="G71" s="29" t="s">
        <v>90</v>
      </c>
    </row>
    <row r="72" spans="2:11" ht="15.75" customHeight="1" x14ac:dyDescent="0.3">
      <c r="B72" s="30" t="s">
        <v>19</v>
      </c>
      <c r="C72" s="135">
        <v>27</v>
      </c>
      <c r="D72" s="136">
        <v>6</v>
      </c>
      <c r="E72" s="136">
        <v>7</v>
      </c>
      <c r="F72" s="136">
        <v>7</v>
      </c>
      <c r="G72" s="136">
        <v>7</v>
      </c>
    </row>
    <row r="73" spans="2:11" ht="15.75" customHeight="1" x14ac:dyDescent="0.3">
      <c r="B73" s="30" t="s">
        <v>751</v>
      </c>
      <c r="C73" s="135">
        <v>573</v>
      </c>
      <c r="D73" s="136">
        <f>C73/27*6</f>
        <v>127.33333333333333</v>
      </c>
      <c r="E73" s="136">
        <f>C73/27*7</f>
        <v>148.55555555555554</v>
      </c>
      <c r="F73" s="136">
        <f>C73/27*7</f>
        <v>148.55555555555554</v>
      </c>
      <c r="G73" s="136">
        <f>C73/27*7</f>
        <v>148.55555555555554</v>
      </c>
    </row>
    <row r="74" spans="2:11" ht="15.75" customHeight="1" x14ac:dyDescent="0.3"/>
    <row r="75" spans="2:11" ht="21.75" customHeight="1" x14ac:dyDescent="0.3">
      <c r="B75" s="195" t="s">
        <v>666</v>
      </c>
      <c r="C75" s="195"/>
      <c r="D75" s="195"/>
      <c r="E75" s="195"/>
      <c r="F75" s="195"/>
      <c r="G75" s="195"/>
      <c r="H75" s="195"/>
      <c r="I75" s="195"/>
      <c r="J75" s="195"/>
      <c r="K75" s="195"/>
    </row>
    <row r="76" spans="2:11" ht="27.75" customHeight="1" x14ac:dyDescent="0.3">
      <c r="B76" s="232" t="s">
        <v>738</v>
      </c>
      <c r="C76" s="232"/>
      <c r="D76" s="232"/>
      <c r="E76" s="232"/>
      <c r="F76" s="232"/>
      <c r="G76" s="232"/>
      <c r="H76" s="232"/>
      <c r="I76" s="232"/>
      <c r="J76" s="232"/>
      <c r="K76" s="232"/>
    </row>
    <row r="77" spans="2:11" ht="27.75" customHeight="1" x14ac:dyDescent="0.3">
      <c r="B77" s="232" t="s">
        <v>667</v>
      </c>
      <c r="C77" s="232"/>
      <c r="D77" s="232"/>
      <c r="E77" s="232"/>
      <c r="F77" s="232"/>
      <c r="G77" s="232"/>
      <c r="H77" s="232"/>
      <c r="I77" s="232"/>
      <c r="J77" s="232"/>
      <c r="K77" s="232"/>
    </row>
    <row r="78" spans="2:11" ht="27.75" customHeight="1" x14ac:dyDescent="0.3">
      <c r="B78" s="232" t="s">
        <v>668</v>
      </c>
      <c r="C78" s="232"/>
      <c r="D78" s="232"/>
      <c r="E78" s="232"/>
      <c r="F78" s="232"/>
      <c r="G78" s="232"/>
      <c r="H78" s="232"/>
      <c r="I78" s="232"/>
      <c r="J78" s="232"/>
      <c r="K78" s="232"/>
    </row>
    <row r="79" spans="2:11" ht="27.75" customHeight="1" x14ac:dyDescent="0.3">
      <c r="B79" s="232" t="s">
        <v>669</v>
      </c>
      <c r="C79" s="232"/>
      <c r="D79" s="232"/>
      <c r="E79" s="232"/>
      <c r="F79" s="232"/>
      <c r="G79" s="232"/>
      <c r="H79" s="232"/>
      <c r="I79" s="232"/>
      <c r="J79" s="232"/>
      <c r="K79" s="232"/>
    </row>
    <row r="80" spans="2:11" ht="27.75" customHeight="1" x14ac:dyDescent="0.3">
      <c r="B80" s="232" t="s">
        <v>670</v>
      </c>
      <c r="C80" s="232"/>
      <c r="D80" s="232"/>
      <c r="E80" s="232"/>
      <c r="F80" s="232"/>
      <c r="G80" s="232"/>
      <c r="H80" s="232"/>
      <c r="I80" s="232"/>
      <c r="J80" s="232"/>
      <c r="K80" s="232"/>
    </row>
    <row r="81" spans="2:11" ht="27.75" customHeight="1" x14ac:dyDescent="0.3">
      <c r="B81" s="232" t="s">
        <v>671</v>
      </c>
      <c r="C81" s="232"/>
      <c r="D81" s="232"/>
      <c r="E81" s="232"/>
      <c r="F81" s="232"/>
      <c r="G81" s="232"/>
      <c r="H81" s="232"/>
      <c r="I81" s="232"/>
      <c r="J81" s="232"/>
      <c r="K81" s="232"/>
    </row>
    <row r="82" spans="2:11" ht="27.75" customHeight="1" x14ac:dyDescent="0.3">
      <c r="B82" s="232" t="s">
        <v>672</v>
      </c>
      <c r="C82" s="232"/>
      <c r="D82" s="232"/>
      <c r="E82" s="232"/>
      <c r="F82" s="232"/>
      <c r="G82" s="232"/>
      <c r="H82" s="232"/>
      <c r="I82" s="232"/>
      <c r="J82" s="232"/>
      <c r="K82" s="232"/>
    </row>
    <row r="83" spans="2:11" ht="27.75" customHeight="1" x14ac:dyDescent="0.3">
      <c r="B83" s="232" t="s">
        <v>673</v>
      </c>
      <c r="C83" s="232"/>
      <c r="D83" s="232"/>
      <c r="E83" s="232"/>
      <c r="F83" s="232"/>
      <c r="G83" s="232"/>
      <c r="H83" s="232"/>
      <c r="I83" s="232"/>
      <c r="J83" s="232"/>
      <c r="K83" s="232"/>
    </row>
    <row r="84" spans="2:11" ht="27.75" customHeight="1" x14ac:dyDescent="0.3">
      <c r="B84" s="232" t="s">
        <v>674</v>
      </c>
      <c r="C84" s="232"/>
      <c r="D84" s="232"/>
      <c r="E84" s="232"/>
      <c r="F84" s="232"/>
      <c r="G84" s="232"/>
      <c r="H84" s="232"/>
      <c r="I84" s="232"/>
      <c r="J84" s="232"/>
      <c r="K84" s="232"/>
    </row>
    <row r="85" spans="2:11" ht="27.75" customHeight="1" x14ac:dyDescent="0.3">
      <c r="B85" s="232" t="s">
        <v>675</v>
      </c>
      <c r="C85" s="232"/>
      <c r="D85" s="232"/>
      <c r="E85" s="232"/>
      <c r="F85" s="232"/>
      <c r="G85" s="232"/>
      <c r="H85" s="232"/>
      <c r="I85" s="232"/>
      <c r="J85" s="232"/>
      <c r="K85" s="232"/>
    </row>
    <row r="86" spans="2:11" ht="15.75" customHeight="1" x14ac:dyDescent="0.3"/>
    <row r="87" spans="2:11" ht="19.5" customHeight="1" x14ac:dyDescent="0.3">
      <c r="B87" s="230" t="s">
        <v>401</v>
      </c>
      <c r="C87" s="230"/>
      <c r="D87" s="230"/>
      <c r="E87" s="230"/>
      <c r="F87" s="230"/>
      <c r="G87" s="230"/>
      <c r="H87" s="230"/>
    </row>
    <row r="88" spans="2:11" ht="15.75" customHeight="1" x14ac:dyDescent="0.3">
      <c r="B88" s="29" t="s">
        <v>402</v>
      </c>
      <c r="C88" s="29" t="s">
        <v>86</v>
      </c>
      <c r="D88" s="29" t="s">
        <v>87</v>
      </c>
      <c r="E88" s="29" t="s">
        <v>88</v>
      </c>
      <c r="F88" s="29" t="s">
        <v>89</v>
      </c>
      <c r="G88" s="29" t="s">
        <v>90</v>
      </c>
    </row>
    <row r="89" spans="2:11" ht="15.75" customHeight="1" x14ac:dyDescent="0.3">
      <c r="B89" s="30" t="s">
        <v>403</v>
      </c>
      <c r="C89" s="135">
        <v>30</v>
      </c>
      <c r="D89" s="136">
        <v>7</v>
      </c>
      <c r="E89" s="136">
        <v>8</v>
      </c>
      <c r="F89" s="136">
        <v>7</v>
      </c>
      <c r="G89" s="136">
        <v>8</v>
      </c>
    </row>
    <row r="90" spans="2:11" ht="15.75" customHeight="1" x14ac:dyDescent="0.3">
      <c r="B90" s="191" t="s">
        <v>676</v>
      </c>
      <c r="C90" s="191"/>
      <c r="D90" s="191"/>
      <c r="E90" s="191"/>
      <c r="F90" s="191"/>
      <c r="G90" s="191"/>
      <c r="H90" s="191"/>
    </row>
    <row r="91" spans="2:11" ht="15.75" customHeight="1" x14ac:dyDescent="0.3">
      <c r="B91" s="191"/>
      <c r="C91" s="191"/>
      <c r="D91" s="191"/>
      <c r="E91" s="191"/>
      <c r="F91" s="191"/>
      <c r="G91" s="191"/>
      <c r="H91" s="191"/>
    </row>
    <row r="92" spans="2:11" ht="15.75" customHeight="1" x14ac:dyDescent="0.3"/>
    <row r="93" spans="2:11" ht="15.75" customHeight="1" x14ac:dyDescent="0.3"/>
    <row r="94" spans="2:11" ht="15.75" customHeight="1" x14ac:dyDescent="0.3"/>
    <row r="95" spans="2:11" ht="15.75" customHeight="1" x14ac:dyDescent="0.3"/>
    <row r="96" spans="2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</sheetData>
  <mergeCells count="35">
    <mergeCell ref="B53:H53"/>
    <mergeCell ref="B4:J4"/>
    <mergeCell ref="B6:C6"/>
    <mergeCell ref="E6:F6"/>
    <mergeCell ref="H6:I6"/>
    <mergeCell ref="B8:C8"/>
    <mergeCell ref="E8:F8"/>
    <mergeCell ref="H8:I8"/>
    <mergeCell ref="K6:L6"/>
    <mergeCell ref="B7:C7"/>
    <mergeCell ref="E7:F7"/>
    <mergeCell ref="H7:I7"/>
    <mergeCell ref="K7:L7"/>
    <mergeCell ref="K8:L8"/>
    <mergeCell ref="B11:K11"/>
    <mergeCell ref="B24:K24"/>
    <mergeCell ref="M25:R39"/>
    <mergeCell ref="B39:K39"/>
    <mergeCell ref="B19:H19"/>
    <mergeCell ref="B34:H34"/>
    <mergeCell ref="B58:K58"/>
    <mergeCell ref="B75:K75"/>
    <mergeCell ref="B70:H70"/>
    <mergeCell ref="B76:K76"/>
    <mergeCell ref="B77:K77"/>
    <mergeCell ref="B78:K78"/>
    <mergeCell ref="B79:K79"/>
    <mergeCell ref="B80:K80"/>
    <mergeCell ref="B87:H87"/>
    <mergeCell ref="B90:H91"/>
    <mergeCell ref="B81:K81"/>
    <mergeCell ref="B82:K82"/>
    <mergeCell ref="B83:K83"/>
    <mergeCell ref="B84:K84"/>
    <mergeCell ref="B85:K85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C35"/>
  <sheetViews>
    <sheetView showGridLines="0" tabSelected="1" zoomScaleNormal="100" workbookViewId="0">
      <selection activeCell="C33" sqref="C33"/>
    </sheetView>
  </sheetViews>
  <sheetFormatPr defaultColWidth="8.6640625" defaultRowHeight="14.4" x14ac:dyDescent="0.3"/>
  <cols>
    <col min="1" max="1" width="2" customWidth="1"/>
    <col min="2" max="2" width="40" customWidth="1"/>
    <col min="3" max="3" width="80" customWidth="1"/>
    <col min="4" max="4" width="4" customWidth="1"/>
  </cols>
  <sheetData>
    <row r="2" spans="2:3" ht="30.75" customHeight="1" x14ac:dyDescent="0.3">
      <c r="B2" s="188" t="s">
        <v>677</v>
      </c>
      <c r="C2" s="188"/>
    </row>
    <row r="4" spans="2:3" ht="24" customHeight="1" x14ac:dyDescent="0.3">
      <c r="B4" s="189" t="s">
        <v>678</v>
      </c>
      <c r="C4" s="189"/>
    </row>
    <row r="6" spans="2:3" ht="21.75" customHeight="1" x14ac:dyDescent="0.3">
      <c r="B6" s="190" t="s">
        <v>679</v>
      </c>
      <c r="C6" s="190"/>
    </row>
    <row r="7" spans="2:3" ht="42" customHeight="1" x14ac:dyDescent="0.3">
      <c r="B7" s="143" t="s">
        <v>680</v>
      </c>
      <c r="C7" s="95" t="s">
        <v>763</v>
      </c>
    </row>
    <row r="8" spans="2:3" ht="42" customHeight="1" x14ac:dyDescent="0.3">
      <c r="B8" s="143" t="s">
        <v>681</v>
      </c>
      <c r="C8" s="95" t="s">
        <v>764</v>
      </c>
    </row>
    <row r="9" spans="2:3" ht="27.75" customHeight="1" x14ac:dyDescent="0.3">
      <c r="B9" s="143" t="s">
        <v>682</v>
      </c>
      <c r="C9" s="95" t="s">
        <v>765</v>
      </c>
    </row>
    <row r="10" spans="2:3" ht="27.75" customHeight="1" x14ac:dyDescent="0.3">
      <c r="B10" s="143" t="s">
        <v>683</v>
      </c>
      <c r="C10" s="95" t="s">
        <v>684</v>
      </c>
    </row>
    <row r="12" spans="2:3" ht="21.75" customHeight="1" x14ac:dyDescent="0.3">
      <c r="B12" s="190" t="s">
        <v>685</v>
      </c>
      <c r="C12" s="190"/>
    </row>
    <row r="13" spans="2:3" ht="27.75" customHeight="1" x14ac:dyDescent="0.3">
      <c r="B13" s="143" t="s">
        <v>686</v>
      </c>
      <c r="C13" s="95" t="s">
        <v>766</v>
      </c>
    </row>
    <row r="14" spans="2:3" ht="27.75" customHeight="1" x14ac:dyDescent="0.3">
      <c r="B14" s="143" t="s">
        <v>687</v>
      </c>
      <c r="C14" s="95" t="s">
        <v>688</v>
      </c>
    </row>
    <row r="15" spans="2:3" ht="27.75" customHeight="1" x14ac:dyDescent="0.3">
      <c r="B15" s="143" t="s">
        <v>689</v>
      </c>
      <c r="C15" s="95" t="s">
        <v>690</v>
      </c>
    </row>
    <row r="16" spans="2:3" ht="42" customHeight="1" x14ac:dyDescent="0.3">
      <c r="B16" s="143" t="s">
        <v>691</v>
      </c>
      <c r="C16" s="95" t="s">
        <v>692</v>
      </c>
    </row>
    <row r="17" spans="2:3" ht="27.75" customHeight="1" x14ac:dyDescent="0.3">
      <c r="B17" s="143" t="s">
        <v>693</v>
      </c>
      <c r="C17" s="95" t="s">
        <v>766</v>
      </c>
    </row>
    <row r="19" spans="2:3" ht="21.75" customHeight="1" x14ac:dyDescent="0.3">
      <c r="B19" s="190" t="s">
        <v>694</v>
      </c>
      <c r="C19" s="190"/>
    </row>
    <row r="20" spans="2:3" ht="18" customHeight="1" x14ac:dyDescent="0.3">
      <c r="B20" s="143" t="s">
        <v>686</v>
      </c>
      <c r="C20" s="95" t="s">
        <v>766</v>
      </c>
    </row>
    <row r="21" spans="2:3" ht="18" customHeight="1" x14ac:dyDescent="0.3">
      <c r="B21" s="143" t="s">
        <v>689</v>
      </c>
      <c r="C21" s="95" t="s">
        <v>767</v>
      </c>
    </row>
    <row r="22" spans="2:3" ht="18" customHeight="1" x14ac:dyDescent="0.3">
      <c r="B22" s="143" t="s">
        <v>687</v>
      </c>
      <c r="C22" s="95" t="s">
        <v>695</v>
      </c>
    </row>
    <row r="23" spans="2:3" ht="27.75" customHeight="1" x14ac:dyDescent="0.3">
      <c r="B23" s="143" t="s">
        <v>696</v>
      </c>
      <c r="C23" s="95" t="s">
        <v>740</v>
      </c>
    </row>
    <row r="24" spans="2:3" ht="18" customHeight="1" x14ac:dyDescent="0.3">
      <c r="B24" s="143" t="s">
        <v>691</v>
      </c>
      <c r="C24" s="95" t="s">
        <v>697</v>
      </c>
    </row>
    <row r="25" spans="2:3" ht="42" customHeight="1" x14ac:dyDescent="0.3">
      <c r="B25" s="143" t="s">
        <v>698</v>
      </c>
      <c r="C25" s="95" t="s">
        <v>768</v>
      </c>
    </row>
    <row r="27" spans="2:3" ht="21.75" customHeight="1" x14ac:dyDescent="0.3">
      <c r="B27" s="190" t="s">
        <v>699</v>
      </c>
      <c r="C27" s="190"/>
    </row>
    <row r="28" spans="2:3" ht="42" customHeight="1" x14ac:dyDescent="0.3">
      <c r="B28" s="143" t="s">
        <v>700</v>
      </c>
      <c r="C28" s="95" t="s">
        <v>701</v>
      </c>
    </row>
    <row r="29" spans="2:3" ht="27.75" customHeight="1" x14ac:dyDescent="0.3">
      <c r="B29" s="143" t="s">
        <v>691</v>
      </c>
      <c r="C29" s="95" t="s">
        <v>739</v>
      </c>
    </row>
    <row r="31" spans="2:3" ht="21.75" customHeight="1" x14ac:dyDescent="0.3">
      <c r="B31" s="190" t="s">
        <v>702</v>
      </c>
      <c r="C31" s="190"/>
    </row>
    <row r="32" spans="2:3" ht="18" customHeight="1" x14ac:dyDescent="0.3">
      <c r="B32" s="143" t="s">
        <v>769</v>
      </c>
      <c r="C32" s="95" t="s">
        <v>703</v>
      </c>
    </row>
    <row r="33" spans="2:3" ht="18" customHeight="1" x14ac:dyDescent="0.3">
      <c r="B33" s="143" t="s">
        <v>770</v>
      </c>
      <c r="C33" s="95" t="s">
        <v>772</v>
      </c>
    </row>
    <row r="34" spans="2:3" ht="27.75" customHeight="1" x14ac:dyDescent="0.3">
      <c r="B34" s="143" t="s">
        <v>771</v>
      </c>
      <c r="C34" s="95" t="s">
        <v>704</v>
      </c>
    </row>
    <row r="35" spans="2:3" ht="27.75" customHeight="1" x14ac:dyDescent="0.3">
      <c r="B35" s="143" t="s">
        <v>705</v>
      </c>
      <c r="C35" s="95" t="s">
        <v>706</v>
      </c>
    </row>
  </sheetData>
  <mergeCells count="7">
    <mergeCell ref="B27:C27"/>
    <mergeCell ref="B31:C31"/>
    <mergeCell ref="B2:C2"/>
    <mergeCell ref="B4:C4"/>
    <mergeCell ref="B6:C6"/>
    <mergeCell ref="B12:C12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Master Dashboard</vt:lpstr>
      <vt:lpstr>Comments Log</vt:lpstr>
      <vt:lpstr>Team Roster</vt:lpstr>
      <vt:lpstr>Esthemax Incentive</vt:lpstr>
      <vt:lpstr>Celluma Incentive</vt:lpstr>
      <vt:lpstr>Device Incentive</vt:lpstr>
      <vt:lpstr>Device Cost</vt:lpstr>
      <vt:lpstr>Esthemax Cost</vt:lpstr>
      <vt:lpstr>Celluma Cost</vt:lpstr>
      <vt:lpstr>Punjab HQ</vt:lpstr>
      <vt:lpstr>Delhi HQ</vt:lpstr>
      <vt:lpstr>Kolkata HQ</vt:lpstr>
      <vt:lpstr>Chennai HQ</vt:lpstr>
      <vt:lpstr>Bengaluru HQ</vt:lpstr>
      <vt:lpstr>Kochi HQ</vt:lpstr>
      <vt:lpstr>Vijayawada HQ</vt:lpstr>
      <vt:lpstr>Hyderabad HQ</vt:lpstr>
      <vt:lpstr>West HQ</vt:lpstr>
      <vt:lpstr>Incentive T&amp;C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Suryakant Kadam</cp:lastModifiedBy>
  <cp:revision>0</cp:revision>
  <cp:lastPrinted>2026-07-02T07:27:39Z</cp:lastPrinted>
  <dcterms:created xsi:type="dcterms:W3CDTF">2026-05-21T15:21:52Z</dcterms:created>
  <dcterms:modified xsi:type="dcterms:W3CDTF">2026-07-03T06:56:57Z</dcterms:modified>
  <dc:language>en-US</dc:language>
</cp:coreProperties>
</file>